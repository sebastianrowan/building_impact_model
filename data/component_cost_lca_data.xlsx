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github\building_impact_model\data\"/>
    </mc:Choice>
  </mc:AlternateContent>
  <xr:revisionPtr revIDLastSave="0" documentId="13_ncr:1_{0440BE1C-3294-417F-9EBE-1E3C544A6702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component_list" sheetId="18" r:id="rId1"/>
    <sheet name="RS_Means_BC_Cost_Data" sheetId="10" r:id="rId2"/>
    <sheet name="All_LCA_Data" sheetId="11" r:id="rId3"/>
    <sheet name="Cost_LCA_Coupled" sheetId="12" r:id="rId4"/>
    <sheet name="test_fp" sheetId="16" r:id="rId5"/>
    <sheet name="test_comp" sheetId="17" r:id="rId6"/>
    <sheet name="USEEIO_data" sheetId="15" r:id="rId7"/>
    <sheet name="HVAC_systems" sheetId="13" r:id="rId8"/>
  </sheets>
  <definedNames>
    <definedName name="_xlnm._FilterDatabase" localSheetId="2" hidden="1">All_LCA_Data!$A$1:$M$195</definedName>
    <definedName name="_xlnm._FilterDatabase" localSheetId="1" hidden="1">RS_Means_BC_Cost_Data!$A$1:$I$304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32" i="10" l="1"/>
  <c r="F232" i="10"/>
  <c r="G232" i="10"/>
  <c r="E233" i="10"/>
  <c r="F233" i="10"/>
  <c r="G233" i="10"/>
  <c r="E234" i="10"/>
  <c r="F234" i="10"/>
  <c r="G234" i="10"/>
  <c r="E235" i="10"/>
  <c r="F235" i="10"/>
  <c r="G235" i="10"/>
  <c r="E236" i="10"/>
  <c r="F236" i="10"/>
  <c r="G236" i="10"/>
  <c r="E237" i="10"/>
  <c r="F237" i="10"/>
  <c r="G237" i="10"/>
  <c r="E238" i="10"/>
  <c r="F238" i="10"/>
  <c r="G238" i="10"/>
  <c r="E239" i="10"/>
  <c r="F239" i="10"/>
  <c r="G239" i="10"/>
  <c r="E240" i="10"/>
  <c r="F240" i="10"/>
  <c r="G240" i="10"/>
  <c r="E241" i="10"/>
  <c r="F241" i="10"/>
  <c r="G241" i="10"/>
  <c r="F231" i="10"/>
  <c r="G231" i="10"/>
  <c r="E231" i="10"/>
  <c r="E221" i="10"/>
  <c r="F221" i="10"/>
  <c r="G221" i="10"/>
  <c r="E222" i="10"/>
  <c r="F222" i="10"/>
  <c r="G222" i="10"/>
  <c r="E223" i="10"/>
  <c r="F223" i="10"/>
  <c r="G223" i="10"/>
  <c r="E224" i="10"/>
  <c r="F224" i="10"/>
  <c r="G224" i="10"/>
  <c r="E225" i="10"/>
  <c r="F225" i="10"/>
  <c r="G225" i="10"/>
  <c r="E226" i="10"/>
  <c r="F226" i="10"/>
  <c r="G226" i="10"/>
  <c r="E227" i="10"/>
  <c r="F227" i="10"/>
  <c r="G227" i="10"/>
  <c r="E228" i="10"/>
  <c r="F228" i="10"/>
  <c r="G228" i="10"/>
  <c r="E229" i="10"/>
  <c r="F229" i="10"/>
  <c r="G229" i="10"/>
  <c r="E230" i="10"/>
  <c r="F230" i="10"/>
  <c r="G230" i="10"/>
  <c r="E220" i="10"/>
  <c r="F220" i="10"/>
  <c r="G220" i="10"/>
  <c r="C232" i="10"/>
  <c r="C233" i="10"/>
  <c r="C234" i="10"/>
  <c r="C235" i="10"/>
  <c r="C236" i="10"/>
  <c r="C237" i="10"/>
  <c r="C238" i="10"/>
  <c r="C239" i="10"/>
  <c r="C240" i="10"/>
  <c r="C241" i="10"/>
  <c r="C231" i="10"/>
  <c r="C221" i="10"/>
  <c r="C222" i="10"/>
  <c r="C223" i="10"/>
  <c r="C224" i="10"/>
  <c r="C225" i="10"/>
  <c r="C226" i="10"/>
  <c r="C227" i="10"/>
  <c r="C228" i="10"/>
  <c r="C229" i="10"/>
  <c r="C230" i="10"/>
  <c r="C220" i="10"/>
  <c r="I96" i="12"/>
  <c r="I95" i="12" s="1"/>
  <c r="I100" i="12"/>
  <c r="I101" i="12"/>
  <c r="I102" i="12"/>
  <c r="I103" i="12"/>
  <c r="I104" i="12"/>
  <c r="I105" i="12"/>
  <c r="I106" i="12"/>
  <c r="I99" i="12"/>
  <c r="K21" i="12"/>
  <c r="L21" i="12"/>
  <c r="J21" i="12"/>
  <c r="I21" i="12"/>
  <c r="I24" i="12"/>
  <c r="I25" i="12"/>
  <c r="I23" i="12"/>
  <c r="I22" i="12"/>
  <c r="I20" i="12"/>
  <c r="L212" i="12"/>
  <c r="K212" i="12"/>
  <c r="J212" i="12"/>
  <c r="H201" i="12"/>
  <c r="I201" i="12" s="1"/>
  <c r="H202" i="12"/>
  <c r="I202" i="12" s="1"/>
  <c r="K202" i="12"/>
  <c r="L202" i="12" s="1"/>
  <c r="J202" i="12"/>
  <c r="K201" i="12"/>
  <c r="L201" i="12" s="1"/>
  <c r="J201" i="12"/>
  <c r="K200" i="12"/>
  <c r="L200" i="12" s="1"/>
  <c r="J200" i="12"/>
  <c r="K199" i="12"/>
  <c r="L199" i="12" s="1"/>
  <c r="J199" i="12"/>
  <c r="K198" i="12"/>
  <c r="L198" i="12" s="1"/>
  <c r="J198" i="12"/>
  <c r="K197" i="12"/>
  <c r="L197" i="12" s="1"/>
  <c r="J197" i="12"/>
  <c r="J196" i="12"/>
  <c r="L195" i="12"/>
  <c r="K195" i="12"/>
  <c r="J195" i="12"/>
  <c r="L194" i="12"/>
  <c r="K194" i="12"/>
  <c r="J194" i="12"/>
  <c r="L193" i="12"/>
  <c r="L196" i="12" s="1"/>
  <c r="K193" i="12"/>
  <c r="K196" i="12" s="1"/>
  <c r="L192" i="12"/>
  <c r="K192" i="12"/>
  <c r="J192" i="12"/>
  <c r="L187" i="12"/>
  <c r="K187" i="12"/>
  <c r="L184" i="12"/>
  <c r="K184" i="12"/>
  <c r="J184" i="12"/>
  <c r="L183" i="12"/>
  <c r="K183" i="12"/>
  <c r="J183" i="12"/>
  <c r="L166" i="12"/>
  <c r="L165" i="12"/>
  <c r="L154" i="12"/>
  <c r="K154" i="12"/>
  <c r="J154" i="12"/>
  <c r="L153" i="12"/>
  <c r="K153" i="12"/>
  <c r="J153" i="12"/>
  <c r="I135" i="12"/>
  <c r="I134" i="12"/>
  <c r="L131" i="12"/>
  <c r="K131" i="12"/>
  <c r="J131" i="12"/>
  <c r="G40" i="11"/>
  <c r="G39" i="11"/>
  <c r="J19" i="12"/>
  <c r="L18" i="12"/>
  <c r="K18" i="12"/>
  <c r="J18" i="12"/>
  <c r="L17" i="12"/>
  <c r="K17" i="12"/>
  <c r="J17" i="12"/>
  <c r="L16" i="12"/>
  <c r="L19" i="12" s="1"/>
  <c r="K16" i="12"/>
  <c r="K19" i="12" s="1"/>
  <c r="L13" i="12"/>
  <c r="K13" i="12"/>
  <c r="J13" i="12"/>
  <c r="L8" i="12"/>
  <c r="K8" i="12"/>
  <c r="L5" i="12"/>
  <c r="K5" i="12"/>
  <c r="J5" i="12"/>
  <c r="L4" i="12"/>
  <c r="K4" i="12"/>
  <c r="J4" i="12"/>
  <c r="G97" i="11"/>
  <c r="I97" i="12" l="1"/>
  <c r="I98" i="12"/>
</calcChain>
</file>

<file path=xl/sharedStrings.xml><?xml version="1.0" encoding="utf-8"?>
<sst xmlns="http://schemas.openxmlformats.org/spreadsheetml/2006/main" count="8381" uniqueCount="1803">
  <si>
    <t>type</t>
  </si>
  <si>
    <t>component</t>
  </si>
  <si>
    <t>product</t>
  </si>
  <si>
    <t>functional_unit</t>
  </si>
  <si>
    <t>unit_cost</t>
  </si>
  <si>
    <t>total_cost</t>
  </si>
  <si>
    <t>total_cost_inc_op</t>
  </si>
  <si>
    <t>rs_means_category</t>
  </si>
  <si>
    <t>Note</t>
  </si>
  <si>
    <t>Underfloor Insulation</t>
  </si>
  <si>
    <t>structure</t>
  </si>
  <si>
    <t>Generic Blown Cellulose R-30</t>
  </si>
  <si>
    <t>ft2</t>
  </si>
  <si>
    <t xml:space="preserve"> 0.73 </t>
  </si>
  <si>
    <t xml:space="preserve"> 1.37 </t>
  </si>
  <si>
    <t xml:space="preserve"> 1.67 </t>
  </si>
  <si>
    <t>07 21 26.10 Blown Insulation</t>
  </si>
  <si>
    <t>Generic Blown Cellulose R-38</t>
  </si>
  <si>
    <t xml:space="preserve"> 0.93 </t>
  </si>
  <si>
    <t xml:space="preserve"> 1.85 </t>
  </si>
  <si>
    <t xml:space="preserve"> 2.28 </t>
  </si>
  <si>
    <t>Generic Blown Cellulose R-49</t>
  </si>
  <si>
    <t xml:space="preserve"> 1.15 </t>
  </si>
  <si>
    <t xml:space="preserve"> 2.22 </t>
  </si>
  <si>
    <t xml:space="preserve"> 2.74 </t>
  </si>
  <si>
    <t>Generic Blown Cellulose R-60</t>
  </si>
  <si>
    <t>1.46</t>
  </si>
  <si>
    <t>2.74</t>
  </si>
  <si>
    <t>3.34</t>
  </si>
  <si>
    <t>Generic Fiberglass Batt R-30</t>
  </si>
  <si>
    <t>1.14</t>
  </si>
  <si>
    <t>2.04</t>
  </si>
  <si>
    <t>2.59</t>
  </si>
  <si>
    <t>07 21 16.10 Blanket Insulation for Floors/Ceilings</t>
  </si>
  <si>
    <t>Generic Fiberglass Batt R-38</t>
  </si>
  <si>
    <t>1.44</t>
  </si>
  <si>
    <t>2.39</t>
  </si>
  <si>
    <t>2.99</t>
  </si>
  <si>
    <t>Generic Fiberglass Batt R-49</t>
  </si>
  <si>
    <t>2.13</t>
  </si>
  <si>
    <t>3.78</t>
  </si>
  <si>
    <t>4.80</t>
  </si>
  <si>
    <t>Generic Fiberglass Batt R-60</t>
  </si>
  <si>
    <t>2.28</t>
  </si>
  <si>
    <t>4.08</t>
  </si>
  <si>
    <t>5.18</t>
  </si>
  <si>
    <t>Generic Blown Fiberglass R-30</t>
  </si>
  <si>
    <t>0.69</t>
  </si>
  <si>
    <t>1.87</t>
  </si>
  <si>
    <t>2.37</t>
  </si>
  <si>
    <t>Generic Blown Fiberglass R-38</t>
  </si>
  <si>
    <t>0.88</t>
  </si>
  <si>
    <t>2.33</t>
  </si>
  <si>
    <t>2.93</t>
  </si>
  <si>
    <t>Generic Blown Fiberglass R-49</t>
  </si>
  <si>
    <t>1.17</t>
  </si>
  <si>
    <t>2.97</t>
  </si>
  <si>
    <t>3.74</t>
  </si>
  <si>
    <t>Generic Blown Fiberglass R-60</t>
  </si>
  <si>
    <t>1.38</t>
  </si>
  <si>
    <t>4.74</t>
  </si>
  <si>
    <t>Polystyrene Foam Board R-4</t>
  </si>
  <si>
    <t>0.28</t>
  </si>
  <si>
    <t>0.94</t>
  </si>
  <si>
    <t>1.30</t>
  </si>
  <si>
    <t>07 21 13.13 Foam Board Insulation</t>
  </si>
  <si>
    <t>Polystyrene Foam Board R-8</t>
  </si>
  <si>
    <t>0.56</t>
  </si>
  <si>
    <t>1.23</t>
  </si>
  <si>
    <t>1.61</t>
  </si>
  <si>
    <t>Polyurethane Foam Board R-13.1</t>
  </si>
  <si>
    <t>1.11</t>
  </si>
  <si>
    <t>1.73</t>
  </si>
  <si>
    <t>2.14</t>
  </si>
  <si>
    <t>07 21 13.10 Rigid Insulation</t>
  </si>
  <si>
    <t>Underfloor Ductwork</t>
  </si>
  <si>
    <t>Steel rectangular duct, 28 Gauge, 10x8"</t>
  </si>
  <si>
    <t>ft</t>
  </si>
  <si>
    <t>1.74</t>
  </si>
  <si>
    <t>25.61</t>
  </si>
  <si>
    <t>23 31 13.13 Rectangular Metal Ducts</t>
  </si>
  <si>
    <t>2.64 lb/ft (https://www.eccomfg.com/wp-content/uploads/2021/05/A1-Galvanized-Duct-and-Accessories-W-4c-Final.pdf)</t>
  </si>
  <si>
    <t>Steel rectangular duct, 28 Gauge, 16x8"</t>
  </si>
  <si>
    <t>2.11</t>
  </si>
  <si>
    <t>30.94</t>
  </si>
  <si>
    <t>3.19 lb/ft (https://www.eccomfg.com/wp-content/uploads/2021/05/A1-Galvanized-Duct-and-Accessories-W-4c-Final.pdf)</t>
  </si>
  <si>
    <t>Steel rectangular duct, 28 Gauge, 20x8"</t>
  </si>
  <si>
    <t>2.43</t>
  </si>
  <si>
    <t>35.70</t>
  </si>
  <si>
    <t>3.68 lb/ft (https://www.eccomfg.com/wp-content/uploads/2021/05/A1-Galvanized-Duct-and-Accessories-W-4c-Final.pdf)</t>
  </si>
  <si>
    <t>Aluminum round duct, 10 Guage, 4" OD</t>
  </si>
  <si>
    <t>3.06</t>
  </si>
  <si>
    <t>26.99</t>
  </si>
  <si>
    <t>39.00</t>
  </si>
  <si>
    <t>1.5 lb/ft (https://www.albinaco.com/pdfs/Aluminum-Shapes.pdf)</t>
  </si>
  <si>
    <t>Aluminum round duct, 10 Guage, 6" OD</t>
  </si>
  <si>
    <t>3.47</t>
  </si>
  <si>
    <t>30.58</t>
  </si>
  <si>
    <t>44.20</t>
  </si>
  <si>
    <t>1.7 lb/ft (https://www.albinaco.com/pdfs/Aluminum-Shapes.pdf)</t>
  </si>
  <si>
    <t>4.69</t>
  </si>
  <si>
    <t>41.38</t>
  </si>
  <si>
    <t>59.80</t>
  </si>
  <si>
    <t>2.3 lb/ft (https://www.albinaco.com/pdfs/Aluminum-Shapes.pdf)</t>
  </si>
  <si>
    <t>Heating/Cooling Unit or HVAC</t>
  </si>
  <si>
    <t>Air source heat pump, 5 ton cooling, 27 MBH</t>
  </si>
  <si>
    <t>ea</t>
  </si>
  <si>
    <t>2500.00</t>
  </si>
  <si>
    <t>4525.00</t>
  </si>
  <si>
    <t>5775.00</t>
  </si>
  <si>
    <t>23 81 43.10 Air-source heat pumps</t>
  </si>
  <si>
    <t>Air source heat pump, 7.5 ton cooling, 33 MBH</t>
  </si>
  <si>
    <t>3725.00</t>
  </si>
  <si>
    <t>5975.00</t>
  </si>
  <si>
    <t>7450.00</t>
  </si>
  <si>
    <t>Air source heat pump, 10 ton cooling, 50 MBH</t>
  </si>
  <si>
    <t>6150.00</t>
  </si>
  <si>
    <t>8625.00</t>
  </si>
  <si>
    <t>10500.00</t>
  </si>
  <si>
    <t>Air source heat pump, 15 ton cooling, 64 MBH</t>
  </si>
  <si>
    <t>10700.00</t>
  </si>
  <si>
    <t>13850.00</t>
  </si>
  <si>
    <t>16500.00</t>
  </si>
  <si>
    <t>Gas-fired furnace, 45MBH</t>
  </si>
  <si>
    <t>715.00</t>
  </si>
  <si>
    <t>958.00</t>
  </si>
  <si>
    <t>1150.00</t>
  </si>
  <si>
    <t>23 54 16.13 gas-fired furnaces</t>
  </si>
  <si>
    <t>Gas-fired furnace, 60MBH</t>
  </si>
  <si>
    <t>645.00</t>
  </si>
  <si>
    <t>901.00</t>
  </si>
  <si>
    <t>1100.00</t>
  </si>
  <si>
    <t>Gas-fired furnace, 75MBH</t>
  </si>
  <si>
    <t>880.00</t>
  </si>
  <si>
    <t>1375.00</t>
  </si>
  <si>
    <t>Gas-fired furnace, 100MBH</t>
  </si>
  <si>
    <t>840.00</t>
  </si>
  <si>
    <t>1145.00</t>
  </si>
  <si>
    <t>Electric furnace - 10.2MBH</t>
  </si>
  <si>
    <t>345.00</t>
  </si>
  <si>
    <t>626.00</t>
  </si>
  <si>
    <t>800.00</t>
  </si>
  <si>
    <t>23 54 13.10 electric furnaces</t>
  </si>
  <si>
    <t>Electric furnace - 17.1MBH</t>
  </si>
  <si>
    <t>420.00</t>
  </si>
  <si>
    <t>689.00</t>
  </si>
  <si>
    <t>870.00</t>
  </si>
  <si>
    <t>Electric furnace - 34.1MBH</t>
  </si>
  <si>
    <t>530.00</t>
  </si>
  <si>
    <t>811.00</t>
  </si>
  <si>
    <t>1000.00</t>
  </si>
  <si>
    <t>Oil-fired furnace - 56MBH</t>
  </si>
  <si>
    <t>3375.00</t>
  </si>
  <si>
    <t>3645.00</t>
  </si>
  <si>
    <t>4125.00</t>
  </si>
  <si>
    <t>23 54 16.16 oil-fired furnaces</t>
  </si>
  <si>
    <t>Oil-fired furnace - 84MBH</t>
  </si>
  <si>
    <t>3575.00</t>
  </si>
  <si>
    <t>3853.00</t>
  </si>
  <si>
    <t>4350.00</t>
  </si>
  <si>
    <t>Oil-fired furnace - 95MBH</t>
  </si>
  <si>
    <t>3600.00</t>
  </si>
  <si>
    <t>3886.00</t>
  </si>
  <si>
    <t>4375.00</t>
  </si>
  <si>
    <t>Oil-fired furnace - 134MBH</t>
  </si>
  <si>
    <t>3500.00</t>
  </si>
  <si>
    <t>3805.00</t>
  </si>
  <si>
    <t>4300.00</t>
  </si>
  <si>
    <t>Wood Subfloor</t>
  </si>
  <si>
    <t>Plywood, CDX 1/2", Pneumatic nailed</t>
  </si>
  <si>
    <t>0.76</t>
  </si>
  <si>
    <t>1.56</t>
  </si>
  <si>
    <t>06 16 23.10 Subfloor</t>
  </si>
  <si>
    <t>Plywood, CDX 5/8", Pneumatic nailed</t>
  </si>
  <si>
    <t>0.82</t>
  </si>
  <si>
    <t>1.36</t>
  </si>
  <si>
    <t>1.70</t>
  </si>
  <si>
    <t>Plywood, CDX 3/4", Pneumatic nailed</t>
  </si>
  <si>
    <t>1.52</t>
  </si>
  <si>
    <t>1.91</t>
  </si>
  <si>
    <t>Finished Floor Underlayment</t>
  </si>
  <si>
    <t>Plywood, underlayment grade 1/4", Pneumatic nailed</t>
  </si>
  <si>
    <t>1.85</t>
  </si>
  <si>
    <t>2.76</t>
  </si>
  <si>
    <t>06 16 26.10 Wood Product Underlayment</t>
  </si>
  <si>
    <t>Plywood, underlayment grade 3/8", Pneumatic nailed</t>
  </si>
  <si>
    <t>2.06</t>
  </si>
  <si>
    <t>Plywood, underlayment grade 1/2", Pneumatic nailed</t>
  </si>
  <si>
    <t>2.75</t>
  </si>
  <si>
    <t>3.25</t>
  </si>
  <si>
    <t>Plywood, underlayment grade 5/8", Pneumatic nailed</t>
  </si>
  <si>
    <t>2.81</t>
  </si>
  <si>
    <t>3.86</t>
  </si>
  <si>
    <t>Plywood, underlayment grade 3/4", Pneumatic nailed</t>
  </si>
  <si>
    <t>3.08</t>
  </si>
  <si>
    <t>4.22</t>
  </si>
  <si>
    <t>Particle board, 3/8", Pneumatic nailed</t>
  </si>
  <si>
    <t>0.58</t>
  </si>
  <si>
    <t>1.06</t>
  </si>
  <si>
    <t>Particle board, 1/2", Pneumatic nailed</t>
  </si>
  <si>
    <t>1.00</t>
  </si>
  <si>
    <t>1.50</t>
  </si>
  <si>
    <t>Particle board, 5/8", Pneumatic nailed</t>
  </si>
  <si>
    <t>1.03</t>
  </si>
  <si>
    <t>1.90</t>
  </si>
  <si>
    <t>Particle board, 3/4", Pneumatic nailed</t>
  </si>
  <si>
    <t>1.62</t>
  </si>
  <si>
    <t>2.00</t>
  </si>
  <si>
    <t>Hardboard, underlayment grade, .215"</t>
  </si>
  <si>
    <t>0.87</t>
  </si>
  <si>
    <t>1.47</t>
  </si>
  <si>
    <t>Finished Floor</t>
  </si>
  <si>
    <t>Natural Finish, 1" fir</t>
  </si>
  <si>
    <t>4.14</t>
  </si>
  <si>
    <t>9.90</t>
  </si>
  <si>
    <t>09 64 16.10 End Grain Block Flooring</t>
  </si>
  <si>
    <t>Natural Finish, 1.5" pine</t>
  </si>
  <si>
    <t>4.06</t>
  </si>
  <si>
    <t>9.80</t>
  </si>
  <si>
    <t>Natural Finish, 2" pine</t>
  </si>
  <si>
    <t>4.70</t>
  </si>
  <si>
    <t>10.50</t>
  </si>
  <si>
    <t>Fir, vertical grain, grade B &amp; better</t>
  </si>
  <si>
    <t>5.30</t>
  </si>
  <si>
    <t>8.50</t>
  </si>
  <si>
    <t>09 64 29.10 Wood Strip and Plank Flooring</t>
  </si>
  <si>
    <t>Maple, strip, select</t>
  </si>
  <si>
    <t>5.35</t>
  </si>
  <si>
    <t>Oak, white or red, #1 common</t>
  </si>
  <si>
    <t>4.16</t>
  </si>
  <si>
    <t>Portlnd Cement Terrazzo, floor, bonded to concrete</t>
  </si>
  <si>
    <t>4.09</t>
  </si>
  <si>
    <t>23.50</t>
  </si>
  <si>
    <t>09 66 13.10 Portland Cement Terrazzo</t>
  </si>
  <si>
    <t>Monolithic terrazzo, 1/2" thick, 10' panels</t>
  </si>
  <si>
    <t>3.62</t>
  </si>
  <si>
    <t>15.30</t>
  </si>
  <si>
    <t>Unglazed ceramic tiles</t>
  </si>
  <si>
    <t>2.53</t>
  </si>
  <si>
    <t>9.05</t>
  </si>
  <si>
    <t>09 31 13.10 Thin-Set Ceramic Tile</t>
  </si>
  <si>
    <t>Marble, thin gauge tile, 3/8", white carara</t>
  </si>
  <si>
    <t>7.65</t>
  </si>
  <si>
    <t>27.00</t>
  </si>
  <si>
    <t>09 63 40.10 Marble</t>
  </si>
  <si>
    <t>Marble, 3/8", thin set, floors</t>
  </si>
  <si>
    <t>0.81</t>
  </si>
  <si>
    <t>21.10</t>
  </si>
  <si>
    <t>Cork tile, standard finish, 1/8"</t>
  </si>
  <si>
    <t>3.51</t>
  </si>
  <si>
    <t>5.85</t>
  </si>
  <si>
    <t>09 62 29.10 Cork Tile Flooring</t>
  </si>
  <si>
    <t>Cork tile, standard finish, 3/16"</t>
  </si>
  <si>
    <t>5.10</t>
  </si>
  <si>
    <t>7.55</t>
  </si>
  <si>
    <t>Cork tile, standard finish, 5/16"</t>
  </si>
  <si>
    <t>4.49</t>
  </si>
  <si>
    <t>6.90</t>
  </si>
  <si>
    <t>Cork tile, standard finish, 1/2"</t>
  </si>
  <si>
    <t>4.12</t>
  </si>
  <si>
    <t>6.50</t>
  </si>
  <si>
    <t>Floating floor, laminate, wood pattern strip, complete</t>
  </si>
  <si>
    <t>5.45</t>
  </si>
  <si>
    <t>10.10</t>
  </si>
  <si>
    <t>09 62 19.10 Floating Floor</t>
  </si>
  <si>
    <t>Linoleum, sheet goods</t>
  </si>
  <si>
    <t>3.92</t>
  </si>
  <si>
    <t>6.05</t>
  </si>
  <si>
    <t>09 65 16.10 Rubber and Vinyl Sheet Flooring</t>
  </si>
  <si>
    <t>Rubber, sheet goods, 1/8"</t>
  </si>
  <si>
    <t>1.32</t>
  </si>
  <si>
    <t>6.65</t>
  </si>
  <si>
    <t>Rubber, sheet goods, 3/16"</t>
  </si>
  <si>
    <t>9.15</t>
  </si>
  <si>
    <t>16.30</t>
  </si>
  <si>
    <t>Rubber, sheet goods, 1/4"</t>
  </si>
  <si>
    <t>1.83</t>
  </si>
  <si>
    <t>8.90</t>
  </si>
  <si>
    <t>Vinyl tile, 3/32"</t>
  </si>
  <si>
    <t>2.21</t>
  </si>
  <si>
    <t>09 65 19.23 Vinyl Tile Flooring</t>
  </si>
  <si>
    <t>Vinyl tile, 1/8"</t>
  </si>
  <si>
    <t>0.85</t>
  </si>
  <si>
    <t>2.02</t>
  </si>
  <si>
    <t>Nylon, level loop, 26 oz</t>
  </si>
  <si>
    <t>1.77</t>
  </si>
  <si>
    <t>2.89</t>
  </si>
  <si>
    <t>09 68 16.10 Sheet Carpet</t>
  </si>
  <si>
    <t>Nylon, level loop, 28 oz</t>
  </si>
  <si>
    <t>3.56</t>
  </si>
  <si>
    <t>4.89</t>
  </si>
  <si>
    <t>Nylon, level loop, 32 oz</t>
  </si>
  <si>
    <t>4.61</t>
  </si>
  <si>
    <t>6.00</t>
  </si>
  <si>
    <t>Wool, level loop, 40 oz</t>
  </si>
  <si>
    <t>13.00</t>
  </si>
  <si>
    <t>15.33</t>
  </si>
  <si>
    <t>Wool, level loop, 50 oz</t>
  </si>
  <si>
    <t>12.11</t>
  </si>
  <si>
    <t>14.33</t>
  </si>
  <si>
    <t>Wool, patterned, 32 oz</t>
  </si>
  <si>
    <t>11.06</t>
  </si>
  <si>
    <t>13.11</t>
  </si>
  <si>
    <t>Olefin, 24 oz</t>
  </si>
  <si>
    <t>1.28</t>
  </si>
  <si>
    <t>Olefin, 26 oz</t>
  </si>
  <si>
    <t>1.43</t>
  </si>
  <si>
    <t>2.50</t>
  </si>
  <si>
    <t>Olefin, 28 oz</t>
  </si>
  <si>
    <t>2.78</t>
  </si>
  <si>
    <t>4.00</t>
  </si>
  <si>
    <t>Bottom Cabinets</t>
  </si>
  <si>
    <t>Economy Kitchen, 6 L.F. - Rule of thumb kitchen cabinets, min</t>
  </si>
  <si>
    <t>1248.00</t>
  </si>
  <si>
    <t>1428.00</t>
  </si>
  <si>
    <t>1644.00</t>
  </si>
  <si>
    <t>12 32 23.10 Manufactured Wood Casework, Stock Units</t>
  </si>
  <si>
    <t>Economy Kitchen, 6 L.F. - Rule of thumb kitchen cabinets, max</t>
  </si>
  <si>
    <t>2760.00</t>
  </si>
  <si>
    <t>2976.00</t>
  </si>
  <si>
    <t>3390.00</t>
  </si>
  <si>
    <t>Average Kitchen, 14 L.F. - Rule of thumb kitchen cabinets, min</t>
  </si>
  <si>
    <t>2912.00</t>
  </si>
  <si>
    <t>3332.00</t>
  </si>
  <si>
    <t>3836.00</t>
  </si>
  <si>
    <t>Average Kitchen, 14 L.F. - Rule of thumb kitchen cabinets, max</t>
  </si>
  <si>
    <t>6440.00</t>
  </si>
  <si>
    <t>6944.00</t>
  </si>
  <si>
    <t>7910.00</t>
  </si>
  <si>
    <t>Luxury Kitchen, 25 L.F. - Rule of thumb kitchen cabinets, min</t>
  </si>
  <si>
    <t>5200.00</t>
  </si>
  <si>
    <t>5950.00</t>
  </si>
  <si>
    <t>6850.00</t>
  </si>
  <si>
    <t>Luxury Kitchen, 25 L.F. - Rule of thumb kitchen cabinets, max</t>
  </si>
  <si>
    <t>11500.00</t>
  </si>
  <si>
    <t>12400.00</t>
  </si>
  <si>
    <t>14125.00</t>
  </si>
  <si>
    <t>Top Cabinets</t>
  </si>
  <si>
    <t>Counter Tops</t>
  </si>
  <si>
    <t>Economy Kitchen, 6 L.F. - Stock 24" wide w/ backsplash, min</t>
  </si>
  <si>
    <t>105.90</t>
  </si>
  <si>
    <t>195.90</t>
  </si>
  <si>
    <t>252.00</t>
  </si>
  <si>
    <t>12 36 23.13 Plastic Laminate-Clad Countertops</t>
  </si>
  <si>
    <t>Economy Kitchen, 6 L.F. - Stock 24" wide w/ backsplash, max</t>
  </si>
  <si>
    <t>255.00</t>
  </si>
  <si>
    <t>363.00</t>
  </si>
  <si>
    <t>444.00</t>
  </si>
  <si>
    <t>Average Kitchen, 14 L.F. - Stock 24" wide w/ backsplash, min</t>
  </si>
  <si>
    <t>247.10</t>
  </si>
  <si>
    <t>457.10</t>
  </si>
  <si>
    <t>588.00</t>
  </si>
  <si>
    <t>Average Kitchen, 14 L.F. - Stock 24" wide w/ backsplash, max</t>
  </si>
  <si>
    <t>595.00</t>
  </si>
  <si>
    <t>847.00</t>
  </si>
  <si>
    <t>1036.00</t>
  </si>
  <si>
    <t>Luxury Kitchen, 25 L.F. - Stock 24" wide w/ backsplash, min</t>
  </si>
  <si>
    <t>441.25</t>
  </si>
  <si>
    <t>816.25</t>
  </si>
  <si>
    <t>1050.00</t>
  </si>
  <si>
    <t>Luxury Kitchen, 25 L.F. - Stock 24" wide w/ backsplash, max</t>
  </si>
  <si>
    <t>1062.50</t>
  </si>
  <si>
    <t>1512.50</t>
  </si>
  <si>
    <t>1850.00</t>
  </si>
  <si>
    <t>Bathroom Bottom Cabinets</t>
  </si>
  <si>
    <t>Vanity bases, 2 doors, 30" high 21" deep, 24" wide</t>
  </si>
  <si>
    <t>455.00</t>
  </si>
  <si>
    <t>500.00</t>
  </si>
  <si>
    <t>565.00</t>
  </si>
  <si>
    <t>12 32 23.30 Manufactured Wood Casework Vanities</t>
  </si>
  <si>
    <t>Vanity bases, 2 doors, 30" high 21" deep, 30" wide</t>
  </si>
  <si>
    <t>480.00</t>
  </si>
  <si>
    <t>536.50</t>
  </si>
  <si>
    <t>610.00</t>
  </si>
  <si>
    <t>Vanity bases, 2 doors, 30" high 21" deep, 36" wide</t>
  </si>
  <si>
    <t>405.00</t>
  </si>
  <si>
    <t>472.50</t>
  </si>
  <si>
    <t>545.00</t>
  </si>
  <si>
    <t>Vanity bases, 2 doors, 30" high 21" deep, 48" wide</t>
  </si>
  <si>
    <t>609.00</t>
  </si>
  <si>
    <t>695.00</t>
  </si>
  <si>
    <t>Bathroom Top Cabinets</t>
  </si>
  <si>
    <t>Medicine Cabinet, sst frame</t>
  </si>
  <si>
    <t>226.00</t>
  </si>
  <si>
    <t>258.00</t>
  </si>
  <si>
    <t>297.00</t>
  </si>
  <si>
    <t>10 28 16.20 Medicine Cabinets</t>
  </si>
  <si>
    <t>Medicine Cabinet, wood frame</t>
  </si>
  <si>
    <t>149.00</t>
  </si>
  <si>
    <t>181.00</t>
  </si>
  <si>
    <t>212.00</t>
  </si>
  <si>
    <t>Medicine Cabinet, Sliding mirror doors, 20"</t>
  </si>
  <si>
    <t>145.00</t>
  </si>
  <si>
    <t>209.50</t>
  </si>
  <si>
    <t>256.00</t>
  </si>
  <si>
    <t>Medicine Cabinet, Sliding mirror doors, 24", lighted</t>
  </si>
  <si>
    <t>167.00</t>
  </si>
  <si>
    <t>257.00</t>
  </si>
  <si>
    <t>320.00</t>
  </si>
  <si>
    <t>Water Heater</t>
  </si>
  <si>
    <t>Electric water heater, glass lined, 30 gallon, minimum</t>
  </si>
  <si>
    <t>720.00</t>
  </si>
  <si>
    <t>938.00</t>
  </si>
  <si>
    <t>1125.00</t>
  </si>
  <si>
    <t>11 30 15.23 Water Heaters</t>
  </si>
  <si>
    <t>Electric water heater, glass lined, 30 gallon, maximum</t>
  </si>
  <si>
    <t>1365.00</t>
  </si>
  <si>
    <t>1650.00</t>
  </si>
  <si>
    <t>Electric water heater, glass lined, 80 gallon, minimum</t>
  </si>
  <si>
    <t>2000.00</t>
  </si>
  <si>
    <t>2545.00</t>
  </si>
  <si>
    <t>3000.00</t>
  </si>
  <si>
    <t>Electric water heater, glass lined, 80 gallon, maximum</t>
  </si>
  <si>
    <t>2775.00</t>
  </si>
  <si>
    <t>3875.00</t>
  </si>
  <si>
    <t>4675.00</t>
  </si>
  <si>
    <t>Gas water heater, glass lined, 30 gallon, minimum</t>
  </si>
  <si>
    <t>1825.00</t>
  </si>
  <si>
    <t>2048.00</t>
  </si>
  <si>
    <t>2325.00</t>
  </si>
  <si>
    <t>Gas water heater, glass lined, 30 gallon, maximum</t>
  </si>
  <si>
    <t>2525.00</t>
  </si>
  <si>
    <t>2895.00</t>
  </si>
  <si>
    <t>3325.00</t>
  </si>
  <si>
    <t>Gas water heater, glass lined, 50 gallon, minimum</t>
  </si>
  <si>
    <t>710.00</t>
  </si>
  <si>
    <t>1155.00</t>
  </si>
  <si>
    <t>1450.00</t>
  </si>
  <si>
    <t>Gas water heater, glass lined, 50 gallon, maximum</t>
  </si>
  <si>
    <t>985.00</t>
  </si>
  <si>
    <t>1730.00</t>
  </si>
  <si>
    <t>2175.00</t>
  </si>
  <si>
    <t>Wall Paint - Interior</t>
  </si>
  <si>
    <t>latex interior paint + primer</t>
  </si>
  <si>
    <t>0.35</t>
  </si>
  <si>
    <t>0.49</t>
  </si>
  <si>
    <t>09 91 23.72 Painting Walls and Ceilings, Interior</t>
  </si>
  <si>
    <t>Wall Paint - Exterior</t>
  </si>
  <si>
    <t>latex exterior paint + primer</t>
  </si>
  <si>
    <t>0.42</t>
  </si>
  <si>
    <t>1.20</t>
  </si>
  <si>
    <t>Exterior Doors</t>
  </si>
  <si>
    <t>Aluminum entrance door</t>
  </si>
  <si>
    <t>1620.00</t>
  </si>
  <si>
    <t>1975.00</t>
  </si>
  <si>
    <t>08 11 16.10 Aluminum Entrance Doors</t>
  </si>
  <si>
    <t>wood exterior door, combo storm &amp; screen</t>
  </si>
  <si>
    <t>325.00</t>
  </si>
  <si>
    <t>415.00</t>
  </si>
  <si>
    <t>495.00</t>
  </si>
  <si>
    <t>08 14 33.20 Wood Doors Residential</t>
  </si>
  <si>
    <t>wood exterior door, entrance door, colonial</t>
  </si>
  <si>
    <t>630.00</t>
  </si>
  <si>
    <t>686.50</t>
  </si>
  <si>
    <t>780.00</t>
  </si>
  <si>
    <t>wood exterior door, Dutch door, pine</t>
  </si>
  <si>
    <t>1175.00</t>
  </si>
  <si>
    <t>1250.00</t>
  </si>
  <si>
    <t>fiberglass exterior door</t>
  </si>
  <si>
    <t>281.00</t>
  </si>
  <si>
    <t>341.00</t>
  </si>
  <si>
    <t>400.00</t>
  </si>
  <si>
    <t>08 16 13.10 Entrance Doors, Fibrous Glass</t>
  </si>
  <si>
    <t>485.00</t>
  </si>
  <si>
    <t>625.00</t>
  </si>
  <si>
    <t>steel exterior door, embossed full panel</t>
  </si>
  <si>
    <t>533.00</t>
  </si>
  <si>
    <t>08 13 13.20 Residential Steel Doors</t>
  </si>
  <si>
    <t>steel exterior door, flush face, full panel</t>
  </si>
  <si>
    <t>475.00</t>
  </si>
  <si>
    <t>531.50</t>
  </si>
  <si>
    <t>605.00</t>
  </si>
  <si>
    <t>Interior Doors</t>
  </si>
  <si>
    <t>Passage door, hardboard, hollow core</t>
  </si>
  <si>
    <t>43.00</t>
  </si>
  <si>
    <t>93.00</t>
  </si>
  <si>
    <t>122.00</t>
  </si>
  <si>
    <t>Passage door, Lauan, hollow core</t>
  </si>
  <si>
    <t>85.00</t>
  </si>
  <si>
    <t>135.00</t>
  </si>
  <si>
    <t>168.00</t>
  </si>
  <si>
    <t>Passage door, Pine paneled</t>
  </si>
  <si>
    <t>222.00</t>
  </si>
  <si>
    <t>269.50</t>
  </si>
  <si>
    <t>315.00</t>
  </si>
  <si>
    <t>Sheetrock/drywall</t>
  </si>
  <si>
    <t>Gypsum Board, standard, 3/8"</t>
  </si>
  <si>
    <t>0.25</t>
  </si>
  <si>
    <t>0.70</t>
  </si>
  <si>
    <t>0.95</t>
  </si>
  <si>
    <t>09 29 10.30 Gypsum Board</t>
  </si>
  <si>
    <t>Gypsum Board, standard, 1/2"</t>
  </si>
  <si>
    <t>Gypsum Board, standard, 5/8"</t>
  </si>
  <si>
    <t>0.26</t>
  </si>
  <si>
    <t>0.71</t>
  </si>
  <si>
    <t>0.96</t>
  </si>
  <si>
    <t>Gypsum Board, fire resistant, 1/2"</t>
  </si>
  <si>
    <t>0.46</t>
  </si>
  <si>
    <t>0.91</t>
  </si>
  <si>
    <t>1.18</t>
  </si>
  <si>
    <t>Gypsum Board, fire resistant, 5/8"</t>
  </si>
  <si>
    <t>0.34</t>
  </si>
  <si>
    <t>0.79</t>
  </si>
  <si>
    <t>1.04</t>
  </si>
  <si>
    <t>Gypsum Board, water resistant, 1/2"</t>
  </si>
  <si>
    <t>0.33</t>
  </si>
  <si>
    <t>0.78</t>
  </si>
  <si>
    <t>Gypsum Board, water resistant, 5/8"</t>
  </si>
  <si>
    <t>0.43</t>
  </si>
  <si>
    <t>Wall Insulation</t>
  </si>
  <si>
    <t>Generic Blown Cellulose R-13</t>
  </si>
  <si>
    <t>0.29</t>
  </si>
  <si>
    <t>0.62</t>
  </si>
  <si>
    <t>Generic Blown Cellulose R-19</t>
  </si>
  <si>
    <t>1.07</t>
  </si>
  <si>
    <t>Generic Fiberglass Roll R-13</t>
  </si>
  <si>
    <t>0.60</t>
  </si>
  <si>
    <t>0.93</t>
  </si>
  <si>
    <t>1.16</t>
  </si>
  <si>
    <t>07 21 16.20 Blanket Insulation for Walls</t>
  </si>
  <si>
    <t>Generic Fiberglass Roll R-19</t>
  </si>
  <si>
    <t>0.86</t>
  </si>
  <si>
    <t>1.19</t>
  </si>
  <si>
    <t>Rigid Fiberglass 1.5#/CF R-12.4</t>
  </si>
  <si>
    <t>0.75</t>
  </si>
  <si>
    <t>1.31</t>
  </si>
  <si>
    <t>Rigid Fiberglass 3#/CF R-13</t>
  </si>
  <si>
    <t>2.08</t>
  </si>
  <si>
    <t>2.64</t>
  </si>
  <si>
    <t>3.13</t>
  </si>
  <si>
    <t>Average Blown Mineral Wool R-13</t>
  </si>
  <si>
    <t>0.22</t>
  </si>
  <si>
    <t>0.97</t>
  </si>
  <si>
    <t>07 21 23.10 Poured Loose-Fill Insulation</t>
  </si>
  <si>
    <t>Average Blown Mineral Wool R-19</t>
  </si>
  <si>
    <t>Baseboard</t>
  </si>
  <si>
    <t>Base Molding, Classic profile, 5/8" x5.5"</t>
  </si>
  <si>
    <t>1.71</t>
  </si>
  <si>
    <t>4.56</t>
  </si>
  <si>
    <t>06 22 13.15 Moldings, Base</t>
  </si>
  <si>
    <t>Base Molding, Classic profile, 5/8" x5.5", Maple</t>
  </si>
  <si>
    <t>3.98</t>
  </si>
  <si>
    <t>6.03</t>
  </si>
  <si>
    <t>7.45</t>
  </si>
  <si>
    <t>Base Molding, Modern profile, 5/8" x3.5"</t>
  </si>
  <si>
    <t>1.02</t>
  </si>
  <si>
    <t>2.82</t>
  </si>
  <si>
    <t>3.81</t>
  </si>
  <si>
    <t>Base Molding, Modern profile, 5/8" x3.5", Maple</t>
  </si>
  <si>
    <t>2.80</t>
  </si>
  <si>
    <t>4.85</t>
  </si>
  <si>
    <t>6.15</t>
  </si>
  <si>
    <t>Refrigerator</t>
  </si>
  <si>
    <t>Refrigerator, 10-12 CF, minimum</t>
  </si>
  <si>
    <t>560.00</t>
  </si>
  <si>
    <t>633.00</t>
  </si>
  <si>
    <t>730.00</t>
  </si>
  <si>
    <t>11 30 13.16 Refrigeration Equipment</t>
  </si>
  <si>
    <t>Refrigerator, 10-12 CF, maximum</t>
  </si>
  <si>
    <t>622.00</t>
  </si>
  <si>
    <t>Refrigerator, 14-20 CF, minimum</t>
  </si>
  <si>
    <t>680.00</t>
  </si>
  <si>
    <t>761.00</t>
  </si>
  <si>
    <t>865.00</t>
  </si>
  <si>
    <t>670.00</t>
  </si>
  <si>
    <t>852.00</t>
  </si>
  <si>
    <t>Refrigerator, 21-29 CF, minimum</t>
  </si>
  <si>
    <t>1600.00</t>
  </si>
  <si>
    <t>1704.00</t>
  </si>
  <si>
    <t>1900.00</t>
  </si>
  <si>
    <t>Refrigerator, 21-29 CF, maximum</t>
  </si>
  <si>
    <t>2243.00</t>
  </si>
  <si>
    <t>2550.00</t>
  </si>
  <si>
    <t>Dishwasher</t>
  </si>
  <si>
    <t>Dishwasher, 4+ cycles, minimum</t>
  </si>
  <si>
    <t>11 30 13.17 Kitchen Cleaning Equipment</t>
  </si>
  <si>
    <t>Dishwasher, 4+ cycles, average</t>
  </si>
  <si>
    <t>835.00</t>
  </si>
  <si>
    <t>Dishwasher, 4+ cycles, maximum</t>
  </si>
  <si>
    <t>950.00</t>
  </si>
  <si>
    <t>Microwave</t>
  </si>
  <si>
    <t>Microwave, minimum</t>
  </si>
  <si>
    <t>119.00</t>
  </si>
  <si>
    <t>251.00</t>
  </si>
  <si>
    <t>330.00</t>
  </si>
  <si>
    <t>11 30 13.15 Cooking Equipment</t>
  </si>
  <si>
    <t>Microwave, maximum</t>
  </si>
  <si>
    <t>585.00</t>
  </si>
  <si>
    <t>745.00</t>
  </si>
  <si>
    <t>Clothes Washer</t>
  </si>
  <si>
    <t>Washer, minimum</t>
  </si>
  <si>
    <t>700.00</t>
  </si>
  <si>
    <t>886.00</t>
  </si>
  <si>
    <t>11 30 13.24 Washers</t>
  </si>
  <si>
    <t>Washer, maximum</t>
  </si>
  <si>
    <t>1510.00</t>
  </si>
  <si>
    <t>1875.00</t>
  </si>
  <si>
    <t>Clothes Dryer</t>
  </si>
  <si>
    <t>Electric dryer, minimum</t>
  </si>
  <si>
    <t>966.00</t>
  </si>
  <si>
    <t>11 30 13.25 Dryers</t>
  </si>
  <si>
    <t>Electric dryer, maximum</t>
  </si>
  <si>
    <t>900.00</t>
  </si>
  <si>
    <t>1300.00</t>
  </si>
  <si>
    <t>1575.00</t>
  </si>
  <si>
    <t>Gas dryer, average</t>
  </si>
  <si>
    <t>970.00</t>
  </si>
  <si>
    <t>1156.00</t>
  </si>
  <si>
    <t>1350.00</t>
  </si>
  <si>
    <t>Oven/stove</t>
  </si>
  <si>
    <t>Cooking range, 30" free standing, 1 oven, minimum</t>
  </si>
  <si>
    <t>703.00</t>
  </si>
  <si>
    <t>Cooking range, 30" free standing, 1 oven, maximum</t>
  </si>
  <si>
    <t>1082.00</t>
  </si>
  <si>
    <t>Cooking range, free standing, 21" wide, minimum</t>
  </si>
  <si>
    <t>1200.00</t>
  </si>
  <si>
    <t>1288.50</t>
  </si>
  <si>
    <t>Cooking range, free standing, 21" wide, maximum</t>
  </si>
  <si>
    <t>2350.00</t>
  </si>
  <si>
    <t>Range hood</t>
  </si>
  <si>
    <t>Range hood, 2 speed, vented, 30" wide, minimum</t>
  </si>
  <si>
    <t>116.00</t>
  </si>
  <si>
    <t>313.00</t>
  </si>
  <si>
    <t>11 30 13.19 Kitchen Ventilation Equipment</t>
  </si>
  <si>
    <t>Range hood, 2 speed, vented, 30" wide, maximum</t>
  </si>
  <si>
    <t>1165.00</t>
  </si>
  <si>
    <t>1400.00</t>
  </si>
  <si>
    <t>Bottom Outlets</t>
  </si>
  <si>
    <t>15 amp duplex outlet, with 12/2 NM cable</t>
  </si>
  <si>
    <t>9.75</t>
  </si>
  <si>
    <t>52.75</t>
  </si>
  <si>
    <t>74.50</t>
  </si>
  <si>
    <t>26 05 90.10 Residential Wiring</t>
  </si>
  <si>
    <t>20 amp duplex outlet, with 12/2 NM cable</t>
  </si>
  <si>
    <t>21.50</t>
  </si>
  <si>
    <t>64.50</t>
  </si>
  <si>
    <t>87.50</t>
  </si>
  <si>
    <t>Top Outlets</t>
  </si>
  <si>
    <t>Light Switches</t>
  </si>
  <si>
    <t>single pole, 15 amp, with Romex cable</t>
  </si>
  <si>
    <t>7.85</t>
  </si>
  <si>
    <t>38.85</t>
  </si>
  <si>
    <t>54.50</t>
  </si>
  <si>
    <t>3-way, #14/3, type NM cable</t>
  </si>
  <si>
    <t>9.95</t>
  </si>
  <si>
    <t>46.45</t>
  </si>
  <si>
    <t>65.00</t>
  </si>
  <si>
    <t>Wiring</t>
  </si>
  <si>
    <t>12/2 solid Romex</t>
  </si>
  <si>
    <t>0.00</t>
  </si>
  <si>
    <t>Included with switches and outlets</t>
  </si>
  <si>
    <t>Electrical Panel</t>
  </si>
  <si>
    <t>1-pole circuit breakers, 100 amp, 10 breakers, with pvc conduit and wire</t>
  </si>
  <si>
    <t>460.00</t>
  </si>
  <si>
    <t>1035.00</t>
  </si>
  <si>
    <t>1-pole circuit breakers, 150 amp, 14 breakers, with pvc conduit and wire</t>
  </si>
  <si>
    <t>660.00</t>
  </si>
  <si>
    <t>1305.00</t>
  </si>
  <si>
    <t>1675.00</t>
  </si>
  <si>
    <t>1-pole circuit breakers, 200 amp, 18 breakers, with pvc conduit and wire</t>
  </si>
  <si>
    <t>2075.00</t>
  </si>
  <si>
    <t>Windows</t>
  </si>
  <si>
    <t>Aluminum window, stock unit, casement, 3'-1"x3'-2"</t>
  </si>
  <si>
    <t>829.00</t>
  </si>
  <si>
    <t>955.00</t>
  </si>
  <si>
    <t>08 51 13.20 Aluminum Windows</t>
  </si>
  <si>
    <t>Aluminum window, single hung, 2'x3'</t>
  </si>
  <si>
    <t>223.00</t>
  </si>
  <si>
    <t>322.00</t>
  </si>
  <si>
    <t>Double hung, 2'x3', low E insul. Glass</t>
  </si>
  <si>
    <t>152.00</t>
  </si>
  <si>
    <t>197.00</t>
  </si>
  <si>
    <t>234.00</t>
  </si>
  <si>
    <t>08 52 10.50 Double-Hung</t>
  </si>
  <si>
    <t>Double hung 3'x4', double insulated glass</t>
  </si>
  <si>
    <t>291.00</t>
  </si>
  <si>
    <t>395.00</t>
  </si>
  <si>
    <t>Ceiling Paint</t>
  </si>
  <si>
    <t>Ceiling</t>
  </si>
  <si>
    <t>0.50</t>
  </si>
  <si>
    <t>1.25</t>
  </si>
  <si>
    <t>0.84</t>
  </si>
  <si>
    <t>0.83</t>
  </si>
  <si>
    <t>1.10</t>
  </si>
  <si>
    <t>1.21</t>
  </si>
  <si>
    <t>Ceiling Insulation</t>
  </si>
  <si>
    <t>Roof Cover Underlayment</t>
  </si>
  <si>
    <t>Asphalt felt, #15</t>
  </si>
  <si>
    <t>0.04</t>
  </si>
  <si>
    <t>0.11</t>
  </si>
  <si>
    <t>0.16</t>
  </si>
  <si>
    <t>07 51 13.40 Felts</t>
  </si>
  <si>
    <t>Asphalt felt, #30</t>
  </si>
  <si>
    <t>0.09</t>
  </si>
  <si>
    <t>0.20</t>
  </si>
  <si>
    <t>Glass fibered roofing felt #15</t>
  </si>
  <si>
    <t>0.10</t>
  </si>
  <si>
    <t>0.17</t>
  </si>
  <si>
    <t>Tarred felt, #15</t>
  </si>
  <si>
    <t>0.23</t>
  </si>
  <si>
    <t>0.30</t>
  </si>
  <si>
    <t>Tarred felt, #30</t>
  </si>
  <si>
    <t>0.41</t>
  </si>
  <si>
    <t>Roof Cover</t>
  </si>
  <si>
    <t>Asphalt Singles, standard strip, 25 year, pneumatic nailed</t>
  </si>
  <si>
    <t>1.98</t>
  </si>
  <si>
    <t>07 31 13.10 Asphalt Roof Shingles</t>
  </si>
  <si>
    <t>Asphalt Singles, standard strip, 30 year, pneumatic nailed</t>
  </si>
  <si>
    <t>1.26</t>
  </si>
  <si>
    <t>2.42</t>
  </si>
  <si>
    <t>Asphalt Shingles, Premium, laminated multi-layer, 260-300lb/sq, pneumatic nailed</t>
  </si>
  <si>
    <t>1.60</t>
  </si>
  <si>
    <t>2.51</t>
  </si>
  <si>
    <t>Asphalt Shingles, Premium, laminated multi-layer, 300-385lb/sq, pneumatic nailed</t>
  </si>
  <si>
    <t>4.15</t>
  </si>
  <si>
    <t>5.21</t>
  </si>
  <si>
    <t>6.30</t>
  </si>
  <si>
    <t>Clay Tiles, flat, interlocking 15"</t>
  </si>
  <si>
    <t>5.60</t>
  </si>
  <si>
    <t>7.58</t>
  </si>
  <si>
    <t>9.35</t>
  </si>
  <si>
    <t>07 32 13.10 Clay Tiles</t>
  </si>
  <si>
    <t>Clay Tiles, roman pan, 18"</t>
  </si>
  <si>
    <t>5.20</t>
  </si>
  <si>
    <t>7.36</t>
  </si>
  <si>
    <t>0.92</t>
  </si>
  <si>
    <t>Clay Tiles, barrel mission 18"</t>
  </si>
  <si>
    <t>4.35</t>
  </si>
  <si>
    <t>6.51</t>
  </si>
  <si>
    <t>8.25</t>
  </si>
  <si>
    <t>Aluminum Roof Panels, .0115"</t>
  </si>
  <si>
    <t>2.30</t>
  </si>
  <si>
    <t>07 41 13.10 Aluminum Roof Panels</t>
  </si>
  <si>
    <t>Aluminum Roof Panels, .024"</t>
  </si>
  <si>
    <t>3.02</t>
  </si>
  <si>
    <t>3.76</t>
  </si>
  <si>
    <t>Steel roof panels, corrugated, 30 ga.</t>
  </si>
  <si>
    <t>2.84</t>
  </si>
  <si>
    <t>07 41 13.20 Steel Roofing Panels</t>
  </si>
  <si>
    <t>Steel roof panels, corrugated, 26 ga.</t>
  </si>
  <si>
    <t>4.91</t>
  </si>
  <si>
    <t>Roof Cover and underlayment combined</t>
  </si>
  <si>
    <t>Asphalt Shingles &amp; 1 layer felt underlay</t>
  </si>
  <si>
    <t>Asphalt Shingles &amp; 2 layers felt underlay</t>
  </si>
  <si>
    <t>Asphalt Shingles &amp; fiberglass-felt underlay</t>
  </si>
  <si>
    <t>Asphalt Shingles &amp; synthetic underlay</t>
  </si>
  <si>
    <t>Clay Tiles &amp; 1 layer felt underlay</t>
  </si>
  <si>
    <t>Clay Tiles &amp; 2 layers felt underlay</t>
  </si>
  <si>
    <t>Clay Tiles &amp; fiberglass-felt underlay</t>
  </si>
  <si>
    <t>Clay Tiles &amp; synthetic underlay</t>
  </si>
  <si>
    <t>Roof Sheathing</t>
  </si>
  <si>
    <t>OSB, 7/16", pneumatic nailed</t>
  </si>
  <si>
    <t>0.47</t>
  </si>
  <si>
    <t>0.98</t>
  </si>
  <si>
    <t>1.27</t>
  </si>
  <si>
    <t>06 16 36.10 Sheathing</t>
  </si>
  <si>
    <t>OSB, 1/2", pneumatic nailed</t>
  </si>
  <si>
    <t>0.99</t>
  </si>
  <si>
    <t>1.29</t>
  </si>
  <si>
    <t>OSB, 5/8", pneumatic nailed</t>
  </si>
  <si>
    <t>1.64</t>
  </si>
  <si>
    <t>2.03</t>
  </si>
  <si>
    <t>Plywood, CDX, 5/16", pneumatic nailed</t>
  </si>
  <si>
    <t>1.37</t>
  </si>
  <si>
    <t>1.69</t>
  </si>
  <si>
    <t>Plywood, CDX,3/8", pneumatic nailed</t>
  </si>
  <si>
    <t>0.68</t>
  </si>
  <si>
    <t>Plywood, CDX, 1/2", pneumatic nailed</t>
  </si>
  <si>
    <t>1.63</t>
  </si>
  <si>
    <t>Plywood, CDX, 5/8", pneumatic nailed</t>
  </si>
  <si>
    <t>1.39</t>
  </si>
  <si>
    <t>1.75</t>
  </si>
  <si>
    <t>Plywood, CDX, 3/4", pneumatic nailed</t>
  </si>
  <si>
    <t>1.96</t>
  </si>
  <si>
    <t>Facade</t>
  </si>
  <si>
    <t>Brick Veneer Masonry, Standard, 6.75/SF</t>
  </si>
  <si>
    <t>04 21 13.13 Brick Veneer Masonry</t>
  </si>
  <si>
    <t>Brick Veneer Masonry, Red, 6.75/SF</t>
  </si>
  <si>
    <t>Brick Veneer Masonry, English, full header every 2nd course, 10.13/SF</t>
  </si>
  <si>
    <t>Thin Brick Veneer, on metal panel</t>
  </si>
  <si>
    <t>04 21 13.14 Thin Brick Veneer</t>
  </si>
  <si>
    <t>Thin Brick Veneer, on masonry/plaster</t>
  </si>
  <si>
    <t>Aluminum Siding Panel, Corrugated</t>
  </si>
  <si>
    <t>07 42 13.20 Aluminum Siding Panels</t>
  </si>
  <si>
    <t>Aluminum Siding Panel, Farm type</t>
  </si>
  <si>
    <t>Plywood siding, 3/8"</t>
  </si>
  <si>
    <t>2.70</t>
  </si>
  <si>
    <t>07 46 29.10 Plywood siding Options</t>
  </si>
  <si>
    <t>Plywood siding, 1/2"</t>
  </si>
  <si>
    <t>3.27</t>
  </si>
  <si>
    <t>Plywood siding, 3/4"</t>
  </si>
  <si>
    <t>2.62</t>
  </si>
  <si>
    <t>4.01</t>
  </si>
  <si>
    <t>Vinyl siding, clapboard profile, double 4</t>
  </si>
  <si>
    <t>07 46 33.10 Vinyl Siding</t>
  </si>
  <si>
    <t>Vinyl siding, clapboard profile, double 5</t>
  </si>
  <si>
    <t>Vinyl siding, clapboard profile, single 10</t>
  </si>
  <si>
    <t>Wood, cedar bevel 1/2"x6"</t>
  </si>
  <si>
    <t>4.60</t>
  </si>
  <si>
    <t>6.13</t>
  </si>
  <si>
    <t>07 46 23.10 Wood Board Siding</t>
  </si>
  <si>
    <t>Wood, cedar bevel 1/2"x8"</t>
  </si>
  <si>
    <t>9.21</t>
  </si>
  <si>
    <t>Wood, Cedar, rough sawn 1"x4"</t>
  </si>
  <si>
    <t>11.20</t>
  </si>
  <si>
    <t>Wood, Cedar, board &amp; batten, 1"x12"</t>
  </si>
  <si>
    <t>5.05</t>
  </si>
  <si>
    <t>6.12</t>
  </si>
  <si>
    <t>Stucco, Spray</t>
  </si>
  <si>
    <t>09 96 53.10 Coatings, Elastomeric</t>
  </si>
  <si>
    <t>Polypropylene Siding, single profile, random grooves, double 7</t>
  </si>
  <si>
    <t>07 46 33.20 Polypropylene Siding</t>
  </si>
  <si>
    <t>Polypropylene Siding, single profile, random grooves, triple 5</t>
  </si>
  <si>
    <t>Polypropylene Siding, shake profile, straight butt, double 7</t>
  </si>
  <si>
    <t>EIFS, Field applied, 1" EPS Insulation</t>
  </si>
  <si>
    <t>07 24 13.10 Exterior Insulation and Finish System</t>
  </si>
  <si>
    <t>EIFS, Field applied, 2" EPS Insulation</t>
  </si>
  <si>
    <t>EIFS, Field applied, 3" EPS Insulation</t>
  </si>
  <si>
    <t>Exterior Wall Sheathing</t>
  </si>
  <si>
    <t>1.65</t>
  </si>
  <si>
    <t>1.41</t>
  </si>
  <si>
    <t>1.80</t>
  </si>
  <si>
    <t>1.51</t>
  </si>
  <si>
    <t>1.93</t>
  </si>
  <si>
    <t>2.15</t>
  </si>
  <si>
    <t>1.08</t>
  </si>
  <si>
    <t>1.42</t>
  </si>
  <si>
    <t>1.15</t>
  </si>
  <si>
    <t>1.53</t>
  </si>
  <si>
    <t>1.76</t>
  </si>
  <si>
    <t>Bookcase</t>
  </si>
  <si>
    <t>contents</t>
  </si>
  <si>
    <t>Books</t>
  </si>
  <si>
    <t>Entertainment Center</t>
  </si>
  <si>
    <t>Couch/Sofa</t>
  </si>
  <si>
    <t>Coffee Table/End Table</t>
  </si>
  <si>
    <t>Lamps</t>
  </si>
  <si>
    <t>Blinds</t>
  </si>
  <si>
    <t>Curtains/Drapes</t>
  </si>
  <si>
    <t>A/V equipment</t>
  </si>
  <si>
    <t>Television</t>
  </si>
  <si>
    <t>Dinner Table</t>
  </si>
  <si>
    <t>Dinner Chair</t>
  </si>
  <si>
    <t>China Cabinet/Buffet</t>
  </si>
  <si>
    <t>Small Kitchen Appliances</t>
  </si>
  <si>
    <t>Bed Frame</t>
  </si>
  <si>
    <t>Box Spring and Mattress</t>
  </si>
  <si>
    <t>Bedding</t>
  </si>
  <si>
    <t>Chest of Drawers/Dresser</t>
  </si>
  <si>
    <t>Night stand</t>
  </si>
  <si>
    <t>Bedroom Television</t>
  </si>
  <si>
    <t>Desk</t>
  </si>
  <si>
    <t>Computer</t>
  </si>
  <si>
    <t>Clothing</t>
  </si>
  <si>
    <t>Towels/Linens</t>
  </si>
  <si>
    <t>source_process</t>
  </si>
  <si>
    <t>kg_co2e_source</t>
  </si>
  <si>
    <t>kg_co2e_fu</t>
  </si>
  <si>
    <t>old_ghg</t>
  </si>
  <si>
    <t>source</t>
  </si>
  <si>
    <t>source_functional_unit</t>
  </si>
  <si>
    <t>conversion_details</t>
  </si>
  <si>
    <t>source_note</t>
  </si>
  <si>
    <t>0.126298059</t>
  </si>
  <si>
    <t>BEES 2.1</t>
  </si>
  <si>
    <t>0.160025381</t>
  </si>
  <si>
    <t>0.20643035</t>
  </si>
  <si>
    <t>0.252763558</t>
  </si>
  <si>
    <t>0.289591301</t>
  </si>
  <si>
    <t>0.389765437</t>
  </si>
  <si>
    <t>0.477068035</t>
  </si>
  <si>
    <t>0.575003642</t>
  </si>
  <si>
    <t>0.487133411</t>
  </si>
  <si>
    <t>0.616986467</t>
  </si>
  <si>
    <t>0.795626645</t>
  </si>
  <si>
    <t>0.974174597</t>
  </si>
  <si>
    <t>Average Blown Mineral Wool R-30</t>
  </si>
  <si>
    <t>0.454519245</t>
  </si>
  <si>
    <t>Average Blown Mineral Wool R-38</t>
  </si>
  <si>
    <t>0.59437132</t>
  </si>
  <si>
    <t>Average Blown Mineral Wool R-49</t>
  </si>
  <si>
    <t>0.769186414</t>
  </si>
  <si>
    <t>Average Blown Mineral Wool R-60</t>
  </si>
  <si>
    <t>0.909038489</t>
  </si>
  <si>
    <t>Polystyrene Foam Board R-5</t>
  </si>
  <si>
    <t>Polystyrene foam slab {GLO}| market for polystyrene foam slab | Cut-off, S</t>
  </si>
  <si>
    <t>4.03</t>
  </si>
  <si>
    <t>0.251875</t>
  </si>
  <si>
    <t>EcoInvent</t>
  </si>
  <si>
    <t>kg</t>
  </si>
  <si>
    <t>32 sqft. Board weighs 2kg (https://www.homedepot.com/p/Owens-Corning-FOAMULAR-NGX-F-150-1-in-x-4-ft-x-8-ft-SSE-R-5-XPS-Rigid-Foam-Board-Insulation-20WENGX/315197840)</t>
  </si>
  <si>
    <t>Polystyrene Foam Board R-10</t>
  </si>
  <si>
    <t>0.44078125</t>
  </si>
  <si>
    <t>32 sqft. Board weighs 3.5kg (https://www.homedepot.com/p/Owens-Corning-FOAMULAR-NGX-F-250-2-in-x-4-ft-x-8-ft-SSE-R-10-XPS-Rigid-Foam-Board-Insulation-52DDNGX/315197962)</t>
  </si>
  <si>
    <t>Spiral-seam duct, steel, DN 125</t>
  </si>
  <si>
    <t>spiral-seam duct, steel, DN 125</t>
  </si>
  <si>
    <t>2.849740928</t>
  </si>
  <si>
    <t>m</t>
  </si>
  <si>
    <t>0.304 ft per m</t>
  </si>
  <si>
    <t>Spiral-seam duct, steel, DN 400</t>
  </si>
  <si>
    <t>spiral-seam duct, steel, DN 400</t>
  </si>
  <si>
    <t>28.6</t>
  </si>
  <si>
    <t>8.716854604</t>
  </si>
  <si>
    <t>Flexible duct, aluminium/PET, DN of 125</t>
  </si>
  <si>
    <t>flexible duct, aluminium/PET, DN of 125</t>
  </si>
  <si>
    <t>1.35</t>
  </si>
  <si>
    <t>0.41145992</t>
  </si>
  <si>
    <t>Polyethylene pipe, corrugated, DN 75</t>
  </si>
  <si>
    <t>polyethylene pipe, corrugated, DN 75</t>
  </si>
  <si>
    <t>0.33831149</t>
  </si>
  <si>
    <t>Polyethylene pipe, DN 200, SDR 41</t>
  </si>
  <si>
    <t>polyethylene pipe, DN 200, SDR 41</t>
  </si>
  <si>
    <t>10.1</t>
  </si>
  <si>
    <t>3.078329773</t>
  </si>
  <si>
    <t>Ventilation duct, steel, 100x50 mm</t>
  </si>
  <si>
    <t>ventilation duct, steel, 100x50 mm</t>
  </si>
  <si>
    <t>7.11</t>
  </si>
  <si>
    <t>2.167022246</t>
  </si>
  <si>
    <t>Oil boiler, 10KW</t>
  </si>
  <si>
    <t>Oil boiler, 10kW {GLO}| market for oil boiler, 10kW | Cut-off, S</t>
  </si>
  <si>
    <t>Oil boiler, 100KW</t>
  </si>
  <si>
    <t>Oil boiler, 100kW {GLO}| market for oil boiler, 100kW | Cut-off, S</t>
  </si>
  <si>
    <t>Gas boiler, 10KW</t>
  </si>
  <si>
    <t>Gas boiler {GLO}| market for gas boiler | Cut-off, S</t>
  </si>
  <si>
    <t>Wood furnace, 30kW</t>
  </si>
  <si>
    <t>Furnace, logs, 30kW {GLO}| market for furnace, logs, 30kW | Cut-off, S</t>
  </si>
  <si>
    <t>Wood furnace, 6kW</t>
  </si>
  <si>
    <t>Furnace, logs, 6kW {RoW}| market for furnace, logs, 6kW | Cut-off, S</t>
  </si>
  <si>
    <t>Pellet furnace, 15kW</t>
  </si>
  <si>
    <t>Furnace, pellet, 15kW {GLO}| market for furnace, pellet, 15kW | Cut-off, S</t>
  </si>
  <si>
    <t>Pellet furnace, 50kW</t>
  </si>
  <si>
    <t>Furnace, pellet, 50kW {GLO}| market for furnace, pellet, 50kW | Cut-off, S</t>
  </si>
  <si>
    <t>Pellet furnace, 25kW</t>
  </si>
  <si>
    <t>Furnace, pellet, 25kW {GLO}| market for furnace, pellet, 25kW | Cut-off, S</t>
  </si>
  <si>
    <t>Pellet furnace, 9kW</t>
  </si>
  <si>
    <t>Furnace, pellet, 9kW {GLO}| market for furnace, pellet, 9kW | Cut-off, S</t>
  </si>
  <si>
    <t>Heat pump, 30kW</t>
  </si>
  <si>
    <t>Heat pump, 30kW {GLO}| market for heat pump, 30kW | Cut-off, S</t>
  </si>
  <si>
    <t>3/8" OSB sheathing</t>
  </si>
  <si>
    <t>3/8" OSB sheathing - roof</t>
  </si>
  <si>
    <t>3.43E-01</t>
  </si>
  <si>
    <t>Oriented strand board {RoW}| market for oriented strand board | Cut-off, S</t>
  </si>
  <si>
    <t>332</t>
  </si>
  <si>
    <t>2.94E-01</t>
  </si>
  <si>
    <t>m3</t>
  </si>
  <si>
    <t>35.3 ft3 per m3. 4'x8'x(3/8)"=1 ft3 --&gt; One 32ft2 sheet = 0.0283m3</t>
  </si>
  <si>
    <t>3/8" Plywood sheathing</t>
  </si>
  <si>
    <t>3/8" Plywood sheathing - roof</t>
  </si>
  <si>
    <t>3.15E-01</t>
  </si>
  <si>
    <t>Plywood {RoW}| market for plywood | Cut-off, S</t>
  </si>
  <si>
    <t>690</t>
  </si>
  <si>
    <t>6.11E-01</t>
  </si>
  <si>
    <t>1/8" Wood Fiber Underlayment</t>
  </si>
  <si>
    <t>Fibreboard, soft {RoW}| market for fibreboard, soft | Cut-off, S</t>
  </si>
  <si>
    <t>178</t>
  </si>
  <si>
    <t>5.25E-02</t>
  </si>
  <si>
    <t>35.3 ft3 per m3. 1ft2 x (1/8)/12ft = 0.0104ft3 --&gt; 1ft2 = 2.95e-4m3</t>
  </si>
  <si>
    <t>1/4" Wood Fiber Underlayment</t>
  </si>
  <si>
    <t>1.05E-01</t>
  </si>
  <si>
    <t>35.3 ft3 per m3. 1ft2 x (2/8)/12ft = 0.0208ft3 --&gt; 1ft2 = 5.9e-4m3</t>
  </si>
  <si>
    <t>Average Hardwood</t>
  </si>
  <si>
    <t>-0.25453343</t>
  </si>
  <si>
    <t>Average Engineered Hardwood</t>
  </si>
  <si>
    <t>-0.21368595</t>
  </si>
  <si>
    <t>Generic Terrazzo</t>
  </si>
  <si>
    <t>3.187057132</t>
  </si>
  <si>
    <t>Average Ceramic Tile</t>
  </si>
  <si>
    <t>1.619582845</t>
  </si>
  <si>
    <t>Generic Marble Tile</t>
  </si>
  <si>
    <t>2.70961955</t>
  </si>
  <si>
    <t>Generic Cork Plank</t>
  </si>
  <si>
    <t>0.874577429</t>
  </si>
  <si>
    <t xml:space="preserve">Forbo Marmoleum - 2.5 mm </t>
  </si>
  <si>
    <t>0.843276986</t>
  </si>
  <si>
    <t xml:space="preserve">Forbo Marmoleum - 2.0 mm </t>
  </si>
  <si>
    <t>0.742869023</t>
  </si>
  <si>
    <t>Forbo Eternal</t>
  </si>
  <si>
    <t>0.875132459</t>
  </si>
  <si>
    <t>Generic Resid. Broadloom Carpet - Nylon</t>
  </si>
  <si>
    <t>1.743210364</t>
  </si>
  <si>
    <t>Generic Resid. Broadloom Carpet - Wool</t>
  </si>
  <si>
    <t>3.650138088</t>
  </si>
  <si>
    <t>Generic Resid. Broadloom Carpet - Polyester</t>
  </si>
  <si>
    <t>1.134791378</t>
  </si>
  <si>
    <t>10ft cabinets, 15kg per foot</t>
  </si>
  <si>
    <t>Furniture, wooden {GLO}| market for furniture, wooden | Cut-off, S</t>
  </si>
  <si>
    <t>2.12</t>
  </si>
  <si>
    <t>318</t>
  </si>
  <si>
    <t>Assume weight of 15-30kg per linear foot of cabinets (https://www.homeforemost.com/how-much-does-a-kitchen-cabinet-weigh/).</t>
  </si>
  <si>
    <t>10ft cabinets, 30kg per foot</t>
  </si>
  <si>
    <t>636</t>
  </si>
  <si>
    <t>20ft cabinets, 15kg per foot</t>
  </si>
  <si>
    <t>20ft cabinets, 30kg per foot</t>
  </si>
  <si>
    <t>1272</t>
  </si>
  <si>
    <t>3ft cabinets, 15kg per foot</t>
  </si>
  <si>
    <t>95.4</t>
  </si>
  <si>
    <t>3ft cabinets, 30kg per foot</t>
  </si>
  <si>
    <t>190.8</t>
  </si>
  <si>
    <t>Natural Stone Countertop, 10ft</t>
  </si>
  <si>
    <t>Natural Stone Countertop</t>
  </si>
  <si>
    <t>51.59</t>
  </si>
  <si>
    <t>1.44E+02</t>
  </si>
  <si>
    <t>Other</t>
  </si>
  <si>
    <t>m2</t>
  </si>
  <si>
    <t>Assume 3ft wide counter. 1m2 = 10.764ft2</t>
  </si>
  <si>
    <t>Adhikari, T., Mellentine, J., &amp; Lewis, K. (2022). Life Cycle Assessment (LCA) of Natural Stone Countertops by Natural Stone Institute (NSI). Sustainable Minds. https://transparencycatalog.com/assets/uploads/pdf/Final_LCA-report_Stone-Countertop_Oct252022.pdf</t>
  </si>
  <si>
    <t>Natural Stone Countertop, 20ft</t>
  </si>
  <si>
    <t>2.88E+02</t>
  </si>
  <si>
    <t>Ceramic/Polymer Countertop, 10ft</t>
  </si>
  <si>
    <t>Ceramic/Polymer Countertop</t>
  </si>
  <si>
    <t>85.40</t>
  </si>
  <si>
    <t>2.38E+02</t>
  </si>
  <si>
    <t>Silva, L., Silva, M., Bras, I., Domingos, I., Wessel, D., &amp; Ferreira, J. (2021). A Cradle-to-Grave Life Cycle Assessment Study on a New Countertop Material. Journal of Ecological Engineering, 22(11), 239–245. https://doi.org/10.12911/22998993/142947</t>
  </si>
  <si>
    <t>Ceramic/Polymer Countertop, 20ft</t>
  </si>
  <si>
    <t>4.76E+02</t>
  </si>
  <si>
    <t>Natural Gas Water Heater</t>
  </si>
  <si>
    <t>Raluy, R. G., &amp; Dias, A. C. (2020). Life cycle assessment of a domestic gas-fired water heater: Influence of fuel used and its origin. Journal of Environmental Management, 254, 109786. https://doi.org/10.1016/j.jenvman.2019.109786</t>
  </si>
  <si>
    <t>LPG Water Heater</t>
  </si>
  <si>
    <t>Generic Virgin Latex Paint</t>
  </si>
  <si>
    <t>0.205067768</t>
  </si>
  <si>
    <t>Generic Reprocessed Latex Paint</t>
  </si>
  <si>
    <t>0.095010164</t>
  </si>
  <si>
    <t>Generic Consolidated Latex Paint</t>
  </si>
  <si>
    <t>0.156390784</t>
  </si>
  <si>
    <t>Exterior Door, Wood-Aluminum</t>
  </si>
  <si>
    <t>Door, outer, wood-aluminium {GLO}| market for door, outer, wood-aluminium | Cut-off, S</t>
  </si>
  <si>
    <t>110</t>
  </si>
  <si>
    <t>220</t>
  </si>
  <si>
    <t>Assume a door is 2m2</t>
  </si>
  <si>
    <t>Exterior Door, Wood-Glass</t>
  </si>
  <si>
    <t>Door, outer, wood-glass {GLO}| market for door, outer, wood-glass | Cut-off, S</t>
  </si>
  <si>
    <t>111</t>
  </si>
  <si>
    <t>222</t>
  </si>
  <si>
    <t>Interior Door, Wood-Glass</t>
  </si>
  <si>
    <t>Door, inner, glass-wood {GLO}| market for door, inner, glass-wood | Cut-off, S</t>
  </si>
  <si>
    <t>67.8</t>
  </si>
  <si>
    <t>135.6</t>
  </si>
  <si>
    <t>Interior Door, Wood</t>
  </si>
  <si>
    <t>Door, inner, wood {GLO}| market for door, inner, wood | Cut-off, S</t>
  </si>
  <si>
    <t>55.8</t>
  </si>
  <si>
    <t>111.6</t>
  </si>
  <si>
    <t>Gypsum Wallboard Regular (1/2")</t>
  </si>
  <si>
    <t>3.22E-01</t>
  </si>
  <si>
    <t>0.322</t>
  </si>
  <si>
    <t>Gypsum Wallboard Type X (5/8")</t>
  </si>
  <si>
    <t>4.36E-01</t>
  </si>
  <si>
    <t>0.436</t>
  </si>
  <si>
    <t>0.1186342</t>
  </si>
  <si>
    <t>0.173378481</t>
  </si>
  <si>
    <t>Generic Fiberglass Batt R-13</t>
  </si>
  <si>
    <t>0.172068573</t>
  </si>
  <si>
    <t>Generic Fiberglass Batt R-19</t>
  </si>
  <si>
    <t>0.191655695</t>
  </si>
  <si>
    <t>Average Mineral Wool Board R-13</t>
  </si>
  <si>
    <t>0.5594039</t>
  </si>
  <si>
    <t>Average Mineral Wool Board R-19</t>
  </si>
  <si>
    <t>0.598987175</t>
  </si>
  <si>
    <t>0.209778113</t>
  </si>
  <si>
    <t>0.27970415</t>
  </si>
  <si>
    <t>3/8" Plywood</t>
  </si>
  <si>
    <t>Assume 6" high x3/8" thick --&gt; 1linear ft = 0.015625 ft3 = 0.000442450728</t>
  </si>
  <si>
    <t>0.315</t>
  </si>
  <si>
    <t>Assume 6" high baseboard --&gt; 1 linear ft = 0.5ft2</t>
  </si>
  <si>
    <t>Refrigerator {GLO}| market for refrigerator | Cut-off, S</t>
  </si>
  <si>
    <t>291</t>
  </si>
  <si>
    <t>Dishwasher {GLO}| market for dishwasher | Cut-off, S</t>
  </si>
  <si>
    <t>146</t>
  </si>
  <si>
    <t>Microwave oven {GLO}| market for microwave oven | Cut-off, S</t>
  </si>
  <si>
    <t>58.9</t>
  </si>
  <si>
    <t>Washing machine {GLO}| market for washing machine | Cut-off, S</t>
  </si>
  <si>
    <t>382</t>
  </si>
  <si>
    <t>Dryer {GLO}| market for dryer | Cut-off, S</t>
  </si>
  <si>
    <t>210</t>
  </si>
  <si>
    <t>Cookstove {GLO}| market for cookstove | Cut-off, S</t>
  </si>
  <si>
    <t>180</t>
  </si>
  <si>
    <t>Exhaust air roof hood, steel, DN 400 {GLO}| market for exhaust air roof hood, steel, DN 400 | Cut-off, S</t>
  </si>
  <si>
    <t>63.8</t>
  </si>
  <si>
    <t>Outlet</t>
  </si>
  <si>
    <t>Switch, toggle type {GLO}| market for switch, toggle type | Cut-off, S</t>
  </si>
  <si>
    <t>32</t>
  </si>
  <si>
    <t>22.8</t>
  </si>
  <si>
    <t>Assume 1 switch weight 0.05kg</t>
  </si>
  <si>
    <t>4m</t>
  </si>
  <si>
    <t>Cable, three-conductor cable {GLO}| market for cable, three-conductor cable | Cut-off, S</t>
  </si>
  <si>
    <t>5.3</t>
  </si>
  <si>
    <t>21.2</t>
  </si>
  <si>
    <t>Assume 4m of cable per outlet/lightswitch</t>
  </si>
  <si>
    <t>200 amp, 30-space, 60-circuit</t>
  </si>
  <si>
    <t>USEEIO analysis for NAICS Code 335930/US (Wiring device manufacturing) and unit cost of $198</t>
  </si>
  <si>
    <t>77.49238822</t>
  </si>
  <si>
    <t>USEEIO v2.1</t>
  </si>
  <si>
    <t>$USD</t>
  </si>
  <si>
    <t>Price from cost data table.</t>
  </si>
  <si>
    <t>200 amp, 40-space, 80-circuit</t>
  </si>
  <si>
    <t>USEEIO analysis for NAICS Code 335930/US (Wiring device manufacturing) and unit cost of $298</t>
  </si>
  <si>
    <t>116.629958</t>
  </si>
  <si>
    <t>USEEIO analysis for NAICS Code 335930/US (Wiring device manufacturing) and unit cost of $285</t>
  </si>
  <si>
    <t>111.542074</t>
  </si>
  <si>
    <t>Aluminum Window Frame with Double Glazing glass</t>
  </si>
  <si>
    <t>(Window frame, aluminium, U=1.6 W/m2K {GLO}| market for window frame, aluminium, U=1.6 W/m2K | Cut-off, S) + (Glazing, double, U&lt;1.1 W/m2K {GLO}| market for glazing, double, U&lt;1.1 W/m2K | Cut-off, S)</t>
  </si>
  <si>
    <t>724.7</t>
  </si>
  <si>
    <t>Assume a window is 1m2</t>
  </si>
  <si>
    <t>PVC Window Frame with Double Glazing glass</t>
  </si>
  <si>
    <t>(Window frame, poly vinyl chloride, U=1.6 W/m2K {GLO}| market for window frame, poly vinyl chloride, U=1.6 W/m2K | Cut-off, S) + (Glazing, double, U&lt;1.1 W/m2K {GLO}| market for glazing, double, U&lt;1.1 W/m2K | Cut-off, S)</t>
  </si>
  <si>
    <t>334.7</t>
  </si>
  <si>
    <t>Wood-Metal Window Frame with Double Glazing glass</t>
  </si>
  <si>
    <t>(Window frame, wood-metal, U=1.6 W/m2K {GLO}| market for window frame, wood-metal, U=1.6 W/m2K | Cut-off, S) + (Glazing, double, U&lt;1.1 W/m2K {GLO}| market for glazing, double, U&lt;1.1 W/m2K | Cut-off, S)</t>
  </si>
  <si>
    <t>369.7</t>
  </si>
  <si>
    <t>Wood Window Frame with Double Glazing glass</t>
  </si>
  <si>
    <t>(Window frame, wood, U=1.5 W/m2K {GLO}| market for window frame, wood, U=1.5 W/m2K | Cut-off, S) + (Glazing, double, U&lt;1.1 W/m2K {GLO}| market for glazing, double, U&lt;1.1 W/m2K | Cut-off, S)</t>
  </si>
  <si>
    <t>210.7</t>
  </si>
  <si>
    <t>Aluminum Window Frame with Flat glass</t>
  </si>
  <si>
    <t>(Window frame, aluminium, U=1.6 W/m2K {GLO}| market for window frame, aluminium, U=1.6 W/m2K | Cut-off, S) + (Flat glass, coated {RoW}| market for flat glass, coated | Cut-off, S)</t>
  </si>
  <si>
    <t>688.24</t>
  </si>
  <si>
    <t>PVC Window Frame with Flat glass</t>
  </si>
  <si>
    <t>(Window frame, poly vinyl chloride, U=1.6 W/m2K {GLO}| market for window frame, poly vinyl chloride, U=1.6 W/m2K | Cut-off, S) + (Flat glass, coated {RoW}| market for flat glass, coated | Cut-off, S)</t>
  </si>
  <si>
    <t>298.24</t>
  </si>
  <si>
    <t>Wood-Metal Window Frame with Flat glass</t>
  </si>
  <si>
    <t>(Window frame, wood-metal, U=1.6 W/m2K {GLO}| market for window frame, wood-metal, U=1.6 W/m2K | Cut-off, S) + (Flat glass, coated {RoW}| market for flat glass, coated | Cut-off, S)</t>
  </si>
  <si>
    <t>333.24</t>
  </si>
  <si>
    <t>Wood Window Frame with Flat glass</t>
  </si>
  <si>
    <t>(Window frame, wood, U=1.5 W/m2K {GLO}| market for window frame, wood, U=1.5 W/m2K | Cut-off, S) + (Flat glass, coated {RoW}| market for flat glass, coated | Cut-off, S)</t>
  </si>
  <si>
    <t>174.24</t>
  </si>
  <si>
    <t>1 layer felt underlay</t>
  </si>
  <si>
    <t>2 layer felt underlay</t>
  </si>
  <si>
    <t>fiberglass-felt underlay</t>
  </si>
  <si>
    <t>synthetic underlay</t>
  </si>
  <si>
    <t>Asphalt Shingles</t>
  </si>
  <si>
    <t>Clay Tiles</t>
  </si>
  <si>
    <t>0.594974033</t>
  </si>
  <si>
    <t>0.625108249</t>
  </si>
  <si>
    <t>0.622448396</t>
  </si>
  <si>
    <t>0.589045304</t>
  </si>
  <si>
    <t>1.778839847</t>
  </si>
  <si>
    <t>1.818869813</t>
  </si>
  <si>
    <t>1.787249159</t>
  </si>
  <si>
    <t>1.542327064</t>
  </si>
  <si>
    <t>0.343</t>
  </si>
  <si>
    <t>Generic Brick &amp; Mortar</t>
  </si>
  <si>
    <t>3.368067977</t>
  </si>
  <si>
    <t>Anonymous Brick &amp; Mortar Product 1</t>
  </si>
  <si>
    <t>3.483650077</t>
  </si>
  <si>
    <t>Anonymous Brick &amp; Mortar Product 2</t>
  </si>
  <si>
    <t>3.622013697</t>
  </si>
  <si>
    <t>Generic Aluminum Siding</t>
  </si>
  <si>
    <t>0.585697938</t>
  </si>
  <si>
    <t>CertainTeed Vinyl Siding</t>
  </si>
  <si>
    <t>0.528034163</t>
  </si>
  <si>
    <t>CertainTeed Cedar Impressions Siding</t>
  </si>
  <si>
    <t>0.829223669</t>
  </si>
  <si>
    <t>CertainTeed WeatherBoards Siding</t>
  </si>
  <si>
    <t>1.76036933</t>
  </si>
  <si>
    <t>CertainTeed RecycledContentWeatherBoards</t>
  </si>
  <si>
    <t>1.429562916</t>
  </si>
  <si>
    <t>Generic Stucco Traditional (Residential)</t>
  </si>
  <si>
    <t>1.729229549</t>
  </si>
  <si>
    <t>Generic Cedar Siding</t>
  </si>
  <si>
    <t>1.055966894</t>
  </si>
  <si>
    <t>Average Vinyl Siding</t>
  </si>
  <si>
    <t>0.495670735</t>
  </si>
  <si>
    <t>Average Polypropylene Siding</t>
  </si>
  <si>
    <t>1.250203837</t>
  </si>
  <si>
    <t>Dryvit EIFS Cladding Outsulation MD (CA)</t>
  </si>
  <si>
    <t>0.919439233</t>
  </si>
  <si>
    <t>Generic Stucco (1-Coat) Insulated Siding</t>
  </si>
  <si>
    <t>1.708920107</t>
  </si>
  <si>
    <t xml:space="preserve">Average Insulated Vinyl Siding </t>
  </si>
  <si>
    <t>0.633425475</t>
  </si>
  <si>
    <t>CertainTeed Recycled Content CedarBoards</t>
  </si>
  <si>
    <t>0.424825153</t>
  </si>
  <si>
    <t>Dryvit EIFS Cladding Outsulation Plus (CA)</t>
  </si>
  <si>
    <t>1.185756249</t>
  </si>
  <si>
    <t>Paperback books</t>
  </si>
  <si>
    <t>Printed paper, offset {GLO}| market for printed paper, offset | Cut-off, S</t>
  </si>
  <si>
    <t>3</t>
  </si>
  <si>
    <t>1.5</t>
  </si>
  <si>
    <t>Assume a typical paperback book weighs 0.5 kg</t>
  </si>
  <si>
    <t>Television {GLO}| market for television | Cut-off, S</t>
  </si>
  <si>
    <t>377</t>
  </si>
  <si>
    <t>Mattress without box spring</t>
  </si>
  <si>
    <t>Mattress {GLO}| market for mattress | Cut-off, S</t>
  </si>
  <si>
    <t>153</t>
  </si>
  <si>
    <t>Mattress with box spring</t>
  </si>
  <si>
    <t>306</t>
  </si>
  <si>
    <t>09 91 23.72.0840 Painting Walls and Ceilings, Interior - Paint 2 coats, smooth finish, roller</t>
  </si>
  <si>
    <t>09 91 13.62.140 Exterior Painting, Siding, Misc. - Primer &amp; 2 coats exterior latex</t>
  </si>
  <si>
    <t>ghg_source</t>
  </si>
  <si>
    <t>Polystyrene Foam Board R-4-5</t>
  </si>
  <si>
    <t>Polystyrene Foam Board R-8-10</t>
  </si>
  <si>
    <t>note</t>
  </si>
  <si>
    <t>cost is for R4, ghg is for R5</t>
  </si>
  <si>
    <t>cost is for R8, ghg is for R10</t>
  </si>
  <si>
    <t>source_full</t>
  </si>
  <si>
    <t>BEES 2.1: Generic Blown Cellulose R-30</t>
  </si>
  <si>
    <t>BEES 2.1: Generic Blown Cellulose R-38</t>
  </si>
  <si>
    <t>BEES 2.1: Generic Blown Cellulose R-49</t>
  </si>
  <si>
    <t>BEES 2.1: Generic Blown Cellulose R-60</t>
  </si>
  <si>
    <t>BEES 2.1: Generic Fiberglass Batt R-30</t>
  </si>
  <si>
    <t>BEES 2.1: Generic Fiberglass Batt R-38</t>
  </si>
  <si>
    <t>BEES 2.1: Generic Fiberglass Batt R-49</t>
  </si>
  <si>
    <t>BEES 2.1: Generic Fiberglass Batt R-60</t>
  </si>
  <si>
    <t>BEES 2.1: Generic Blown Fiberglass R-30</t>
  </si>
  <si>
    <t>BEES 2.1: Generic Blown Fiberglass R-38</t>
  </si>
  <si>
    <t>BEES 2.1: Generic Blown Fiberglass R-49</t>
  </si>
  <si>
    <t>BEES 2.1: Generic Blown Fiberglass R-60</t>
  </si>
  <si>
    <t>BEES 2.1: Average Blown Mineral Wool R-30</t>
  </si>
  <si>
    <t>BEES 2.1: Average Blown Mineral Wool R-38</t>
  </si>
  <si>
    <t>BEES 2.1: Average Blown Mineral Wool R-49</t>
  </si>
  <si>
    <t>BEES 2.1: Average Blown Mineral Wool R-60</t>
  </si>
  <si>
    <t>EcoInvent: Polystyrene foam slab {GLO}| market for polystyrene foam slab | Cut-off, S</t>
  </si>
  <si>
    <t>EcoInvent: spiral-seam duct, steel, DN 125</t>
  </si>
  <si>
    <t>EcoInvent: spiral-seam duct, steel, DN 400</t>
  </si>
  <si>
    <t>EcoInvent: flexible duct, aluminium/PET, DN of 125</t>
  </si>
  <si>
    <t>EcoInvent: polyethylene pipe, corrugated, DN 75</t>
  </si>
  <si>
    <t>EcoInvent: polyethylene pipe, DN 200, SDR 41</t>
  </si>
  <si>
    <t>EcoInvent: ventilation duct, steel, 100x50 mm</t>
  </si>
  <si>
    <t>EcoInvent: Oil boiler, 10kW {GLO}| market for oil boiler, 10kW | Cut-off, S</t>
  </si>
  <si>
    <t>EcoInvent: Oil boiler, 100kW {GLO}| market for oil boiler, 100kW | Cut-off, S</t>
  </si>
  <si>
    <t>EcoInvent: Gas boiler {GLO}| market for gas boiler | Cut-off, S</t>
  </si>
  <si>
    <t>EcoInvent: Furnace, logs, 30kW {GLO}| market for furnace, logs, 30kW | Cut-off, S</t>
  </si>
  <si>
    <t>EcoInvent: Furnace, logs, 6kW {RoW}| market for furnace, logs, 6kW | Cut-off, S</t>
  </si>
  <si>
    <t>EcoInvent: Furnace, pellet, 15kW {GLO}| market for furnace, pellet, 15kW | Cut-off, S</t>
  </si>
  <si>
    <t>EcoInvent: Furnace, pellet, 50kW {GLO}| market for furnace, pellet, 50kW | Cut-off, S</t>
  </si>
  <si>
    <t>EcoInvent: Furnace, pellet, 25kW {GLO}| market for furnace, pellet, 25kW | Cut-off, S</t>
  </si>
  <si>
    <t>EcoInvent: Furnace, pellet, 9kW {GLO}| market for furnace, pellet, 9kW | Cut-off, S</t>
  </si>
  <si>
    <t>EcoInvent: Heat pump, 30kW {GLO}| market for heat pump, 30kW | Cut-off, S</t>
  </si>
  <si>
    <t>BEES 2.1: 3/8" OSB sheathing - roof</t>
  </si>
  <si>
    <t>EcoInvent: Oriented strand board {RoW}| market for oriented strand board | Cut-off, S</t>
  </si>
  <si>
    <t>BEES 2.1: 3/8" Plywood sheathing - roof</t>
  </si>
  <si>
    <t>EcoInvent: Plywood {RoW}| market for plywood | Cut-off, S</t>
  </si>
  <si>
    <t>EcoInvent: Fibreboard, soft {RoW}| market for fibreboard, soft | Cut-off, S</t>
  </si>
  <si>
    <t>BEES 2.1: Average Hardwood</t>
  </si>
  <si>
    <t>BEES 2.1: Average Engineered Hardwood</t>
  </si>
  <si>
    <t>BEES 2.1: Generic Terrazzo</t>
  </si>
  <si>
    <t>BEES 2.1: Average Ceramic Tile</t>
  </si>
  <si>
    <t>BEES 2.1: Generic Marble Tile</t>
  </si>
  <si>
    <t>BEES 2.1: Generic Cork Plank</t>
  </si>
  <si>
    <t xml:space="preserve">BEES 2.1: Forbo Marmoleum - 2.5 mm </t>
  </si>
  <si>
    <t xml:space="preserve">BEES 2.1: Forbo Marmoleum - 2.0 mm </t>
  </si>
  <si>
    <t>BEES 2.1: Forbo Eternal</t>
  </si>
  <si>
    <t>BEES 2.1: Generic Resid. Broadloom Carpet - Nylon</t>
  </si>
  <si>
    <t>BEES 2.1: Generic Resid. Broadloom Carpet - Wool</t>
  </si>
  <si>
    <t>BEES 2.1: Generic Resid. Broadloom Carpet - Polyester</t>
  </si>
  <si>
    <t>EcoInvent: Furniture, wooden {GLO}| market for furniture, wooden | Cut-off, S</t>
  </si>
  <si>
    <t>Other: Natural Stone Countertop</t>
  </si>
  <si>
    <t>Other: Ceramic/Polymer Countertop</t>
  </si>
  <si>
    <t>Other: Natural Gas Water Heater</t>
  </si>
  <si>
    <t>Other: LPG Water Heater</t>
  </si>
  <si>
    <t>BEES 2.1: Generic Virgin Latex Paint</t>
  </si>
  <si>
    <t>BEES 2.1: Generic Reprocessed Latex Paint</t>
  </si>
  <si>
    <t>BEES 2.1: Generic Consolidated Latex Paint</t>
  </si>
  <si>
    <t>EcoInvent: Door, outer, wood-aluminium {GLO}| market for door, outer, wood-aluminium | Cut-off, S</t>
  </si>
  <si>
    <t>EcoInvent: Door, outer, wood-glass {GLO}| market for door, outer, wood-glass | Cut-off, S</t>
  </si>
  <si>
    <t>EcoInvent: Door, inner, glass-wood {GLO}| market for door, inner, glass-wood | Cut-off, S</t>
  </si>
  <si>
    <t>EcoInvent: Door, inner, wood {GLO}| market for door, inner, wood | Cut-off, S</t>
  </si>
  <si>
    <t>BEES 2.1: Gypsum Wallboard Regular (1/2")</t>
  </si>
  <si>
    <t>BEES 2.1: Gypsum Wallboard Type X (5/8")</t>
  </si>
  <si>
    <t>BEES 2.1: Generic Blown Cellulose R-13</t>
  </si>
  <si>
    <t>BEES 2.1: Generic Blown Cellulose R-19</t>
  </si>
  <si>
    <t>BEES 2.1: Generic Fiberglass Batt R-13</t>
  </si>
  <si>
    <t>BEES 2.1: Generic Fiberglass Batt R-19</t>
  </si>
  <si>
    <t>BEES 2.1: Average Mineral Wool Board R-13</t>
  </si>
  <si>
    <t>BEES 2.1: Average Mineral Wool Board R-19</t>
  </si>
  <si>
    <t>BEES 2.1: Average Blown Mineral Wool R-13</t>
  </si>
  <si>
    <t>BEES 2.1: Average Blown Mineral Wool R-19</t>
  </si>
  <si>
    <t>EcoInvent: Refrigerator {GLO}| market for refrigerator | Cut-off, S</t>
  </si>
  <si>
    <t>EcoInvent: Dishwasher {GLO}| market for dishwasher | Cut-off, S</t>
  </si>
  <si>
    <t>EcoInvent: Microwave oven {GLO}| market for microwave oven | Cut-off, S</t>
  </si>
  <si>
    <t>EcoInvent: Washing machine {GLO}| market for washing machine | Cut-off, S</t>
  </si>
  <si>
    <t>EcoInvent: Dryer {GLO}| market for dryer | Cut-off, S</t>
  </si>
  <si>
    <t>EcoInvent: Cookstove {GLO}| market for cookstove | Cut-off, S</t>
  </si>
  <si>
    <t>EcoInvent: Exhaust air roof hood, steel, DN 400 {GLO}| market for exhaust air roof hood, steel, DN 400 | Cut-off, S</t>
  </si>
  <si>
    <t>EcoInvent: Switch, toggle type {GLO}| market for switch, toggle type | Cut-off, S</t>
  </si>
  <si>
    <t>EcoInvent: Cable, three-conductor cable {GLO}| market for cable, three-conductor cable | Cut-off, S</t>
  </si>
  <si>
    <t>USEEIO v2.1: USEEIO analysis for NAICS Code 335930/US (Wiring device manufacturing) and unit cost of $198</t>
  </si>
  <si>
    <t>USEEIO v2.1: USEEIO analysis for NAICS Code 335930/US (Wiring device manufacturing) and unit cost of $298</t>
  </si>
  <si>
    <t>USEEIO v2.1: USEEIO analysis for NAICS Code 335930/US (Wiring device manufacturing) and unit cost of $285</t>
  </si>
  <si>
    <t>EcoInvent: (Window frame, aluminium, U=1.6 W/m2K {GLO}| market for window frame, aluminium, U=1.6 W/m2K | Cut-off, S) + (Glazing, double, U&lt;1.1 W/m2K {GLO}| market for glazing, double, U&lt;1.1 W/m2K | Cut-off, S)</t>
  </si>
  <si>
    <t>EcoInvent: (Window frame, poly vinyl chloride, U=1.6 W/m2K {GLO}| market for window frame, poly vinyl chloride, U=1.6 W/m2K | Cut-off, S) + (Glazing, double, U&lt;1.1 W/m2K {GLO}| market for glazing, double, U&lt;1.1 W/m2K | Cut-off, S)</t>
  </si>
  <si>
    <t>EcoInvent: (Window frame, wood-metal, U=1.6 W/m2K {GLO}| market for window frame, wood-metal, U=1.6 W/m2K | Cut-off, S) + (Glazing, double, U&lt;1.1 W/m2K {GLO}| market for glazing, double, U&lt;1.1 W/m2K | Cut-off, S)</t>
  </si>
  <si>
    <t>EcoInvent: (Window frame, wood, U=1.5 W/m2K {GLO}| market for window frame, wood, U=1.5 W/m2K | Cut-off, S) + (Glazing, double, U&lt;1.1 W/m2K {GLO}| market for glazing, double, U&lt;1.1 W/m2K | Cut-off, S)</t>
  </si>
  <si>
    <t>EcoInvent: (Window frame, aluminium, U=1.6 W/m2K {GLO}| market for window frame, aluminium, U=1.6 W/m2K | Cut-off, S) + (Flat glass, coated {RoW}| market for flat glass, coated | Cut-off, S)</t>
  </si>
  <si>
    <t>EcoInvent: (Window frame, poly vinyl chloride, U=1.6 W/m2K {GLO}| market for window frame, poly vinyl chloride, U=1.6 W/m2K | Cut-off, S) + (Flat glass, coated {RoW}| market for flat glass, coated | Cut-off, S)</t>
  </si>
  <si>
    <t>EcoInvent: (Window frame, wood-metal, U=1.6 W/m2K {GLO}| market for window frame, wood-metal, U=1.6 W/m2K | Cut-off, S) + (Flat glass, coated {RoW}| market for flat glass, coated | Cut-off, S)</t>
  </si>
  <si>
    <t>EcoInvent: (Window frame, wood, U=1.5 W/m2K {GLO}| market for window frame, wood, U=1.5 W/m2K | Cut-off, S) + (Flat glass, coated {RoW}| market for flat glass, coated | Cut-off, S)</t>
  </si>
  <si>
    <t>BEES 2.1: Asphalt Shingles &amp; 1 layer felt underlay</t>
  </si>
  <si>
    <t>BEES 2.1: Asphalt Shingles &amp; 2 layers felt underlay</t>
  </si>
  <si>
    <t>BEES 2.1: Asphalt Shingles &amp; fiberglass-felt underlay</t>
  </si>
  <si>
    <t>BEES 2.1: Asphalt Shingles &amp; synthetic underlay</t>
  </si>
  <si>
    <t>BEES 2.1: Clay Tiles &amp; 1 layer felt underlay</t>
  </si>
  <si>
    <t>BEES 2.1: Clay Tiles &amp; 2 layers felt underlay</t>
  </si>
  <si>
    <t>BEES 2.1: Clay Tiles &amp; fiberglass-felt underlay</t>
  </si>
  <si>
    <t>BEES 2.1: Clay Tiles &amp; synthetic underlay</t>
  </si>
  <si>
    <t>BEES 2.1: Generic Brick &amp; Mortar</t>
  </si>
  <si>
    <t>BEES 2.1: Anonymous Brick &amp; Mortar Product 1</t>
  </si>
  <si>
    <t>BEES 2.1: Anonymous Brick &amp; Mortar Product 2</t>
  </si>
  <si>
    <t>BEES 2.1: Generic Aluminum Siding</t>
  </si>
  <si>
    <t>BEES 2.1: CertainTeed Vinyl Siding</t>
  </si>
  <si>
    <t>BEES 2.1: CertainTeed Cedar Impressions Siding</t>
  </si>
  <si>
    <t>BEES 2.1: CertainTeed WeatherBoards Siding</t>
  </si>
  <si>
    <t>BEES 2.1: CertainTeed RecycledContentWeatherBoards</t>
  </si>
  <si>
    <t>BEES 2.1: Generic Stucco Traditional (Residential)</t>
  </si>
  <si>
    <t>BEES 2.1: Generic Cedar Siding</t>
  </si>
  <si>
    <t>BEES 2.1: Average Vinyl Siding</t>
  </si>
  <si>
    <t>BEES 2.1: Average Polypropylene Siding</t>
  </si>
  <si>
    <t>BEES 2.1: Dryvit EIFS Cladding Outsulation MD (CA)</t>
  </si>
  <si>
    <t>BEES 2.1: Generic Stucco (1-Coat) Insulated Siding</t>
  </si>
  <si>
    <t xml:space="preserve">BEES 2.1: Average Insulated Vinyl Siding </t>
  </si>
  <si>
    <t>BEES 2.1: CertainTeed Recycled Content CedarBoards</t>
  </si>
  <si>
    <t>BEES 2.1: Dryvit EIFS Cladding Outsulation Plus (CA)</t>
  </si>
  <si>
    <t>EcoInvent: Printed paper, offset {GLO}| market for printed paper, offset | Cut-off, S</t>
  </si>
  <si>
    <t xml:space="preserve">: </t>
  </si>
  <si>
    <t>EcoInvent: Television {GLO}| market for television | Cut-off, S</t>
  </si>
  <si>
    <t>EcoInvent: Mattress {GLO}| market for mattress | Cut-off, S</t>
  </si>
  <si>
    <t>ghg_source_unit</t>
  </si>
  <si>
    <t>cost_source_unit</t>
  </si>
  <si>
    <t>Electric wall and baseboard heaters are the main source of space heating in about 7% of U.S. homes per May 2022 RECS data</t>
  </si>
  <si>
    <t>https://www.eia.gov/analysis/studies/buildings/equipcosts/pdf/full.pdf</t>
  </si>
  <si>
    <t>OSB, 5/8"</t>
  </si>
  <si>
    <t>OSB, 3/4"</t>
  </si>
  <si>
    <t>3/4" OSB sheathing - roof</t>
  </si>
  <si>
    <t>3/4" Plywood sheathing</t>
  </si>
  <si>
    <t>35.3 ft3 per m3. 4'x8'x(3/4)"= 2ft3 --&gt; One 32ft2 sheet = 0.0567m3</t>
  </si>
  <si>
    <t>NREL/USLCI: Hardboard, at hardboard plant</t>
  </si>
  <si>
    <t>Assume 1000kg/m3 (source says density ranges from 800-1100). Choosing value closer to high end assuming underlayment grade means higher density</t>
  </si>
  <si>
    <t>ft3</t>
  </si>
  <si>
    <t>R3 per inch</t>
  </si>
  <si>
    <t>material_group</t>
  </si>
  <si>
    <t>Foam Board Insulation</t>
  </si>
  <si>
    <t>Blanket Insulation</t>
  </si>
  <si>
    <t>Blown or Loose-Fill Insulation</t>
  </si>
  <si>
    <t>Plywood</t>
  </si>
  <si>
    <t>OSB</t>
  </si>
  <si>
    <t>Particle Board</t>
  </si>
  <si>
    <t>Hardboard</t>
  </si>
  <si>
    <t>Carpet</t>
  </si>
  <si>
    <t>Synthetic</t>
  </si>
  <si>
    <t>Cork</t>
  </si>
  <si>
    <t>Tile</t>
  </si>
  <si>
    <t>Wood</t>
  </si>
  <si>
    <t>Olefin, 22 oz</t>
  </si>
  <si>
    <t>09 64 29.10 Wood [Flooring]</t>
  </si>
  <si>
    <t>09 66 16.13 Portland Cement Terrazzo Floor Tile</t>
  </si>
  <si>
    <t>Portland Cement Terrazzo Floor Tile, 1" thick, 12"x12"</t>
  </si>
  <si>
    <t>Ceramic tiles, recycled glass, standard colors, 2" x 2" thru 6" x 6"</t>
  </si>
  <si>
    <t>Ceramic tiles, recycled glass, standard colors, 12" x 12"</t>
  </si>
  <si>
    <t>Terrazzo</t>
  </si>
  <si>
    <t>09 65 19.19 Vinyl Composition Tile Flooring</t>
  </si>
  <si>
    <t>Assume weight of 15kg per linear foot of cabinets (https://www.homeforemost.com/how-much-does-a-kitchen-cabinet-weigh/).</t>
  </si>
  <si>
    <t>Assume weight of 30kg per linear foot of cabinets (https://www.homeforemost.com/how-much-does-a-kitchen-cabinet-weigh/).</t>
  </si>
  <si>
    <t>Economy</t>
  </si>
  <si>
    <t>Average</t>
  </si>
  <si>
    <t>Luxury</t>
  </si>
  <si>
    <t>1m2 = 10.764ft2</t>
  </si>
  <si>
    <t>Silva et al. (2021) Ceramic/Polymer</t>
  </si>
  <si>
    <t>Painting walls, complete, including surface prep, primer &amp; 2 coats finish</t>
  </si>
  <si>
    <t>09 91 23.72 Walls and Ceilings, Interior</t>
  </si>
  <si>
    <t>09 91 13.62 Painting - Siding, Misc.</t>
  </si>
  <si>
    <t>Aluminum Siding, Primer &amp; 2 coats exterior latex</t>
  </si>
  <si>
    <t>Exterior door, pine 2'-8" wide x 6'-8" tall</t>
  </si>
  <si>
    <t>Exterior door, pine 3'-0" wide x 6'-8" tall</t>
  </si>
  <si>
    <t>Exterior door, pine 3'-0" wide x 7'-1" tall</t>
  </si>
  <si>
    <t>Passage door, hardboard, hollow core 2'-8" wide x 6'-8" tall</t>
  </si>
  <si>
    <t>Passage door, Lauan, hollow core 2'-8" wide x 6'-8" tall</t>
  </si>
  <si>
    <t>Passage door, Pine panelled,  2'-8" wide x 6'-8" tall</t>
  </si>
  <si>
    <t>Assume ghg is proportional to total mass. Adjust ghg value by ratio of target thickness to source thickness.</t>
  </si>
  <si>
    <t>ghg_note</t>
  </si>
  <si>
    <t>cost_note</t>
  </si>
  <si>
    <t>On walls, no finish included</t>
  </si>
  <si>
    <t>Rigid Fiberglass 3#/CF, Foil Faced, 3" thick R-13 + Rigid Fiberglass 3#/CF, Foil Faced, 1.5" thick R-6.5</t>
  </si>
  <si>
    <t>Blown Cellulose R-13</t>
  </si>
  <si>
    <t>Blown Cellulose R-19</t>
  </si>
  <si>
    <t>Fiberglass Roll R-13</t>
  </si>
  <si>
    <t>Fiberglass Roll R-19</t>
  </si>
  <si>
    <t>Blown Fiberglass R-13</t>
  </si>
  <si>
    <t>Blown Fiberglass R-19</t>
  </si>
  <si>
    <t>Assume 6" high x5/8" thick --&gt; 1linear ft = 0.02604 ft3 = 0.00073741788</t>
  </si>
  <si>
    <t>Assume 6" high baseboard --&gt; 1 linear ft = 0.5ft2. Multiply by 5/3 to increase thickness to match RS Means category</t>
  </si>
  <si>
    <t>Refrigerator, 18-20 CF, minimum</t>
  </si>
  <si>
    <t>Refrigerator, 18CF Energy Star qualified, maximum</t>
  </si>
  <si>
    <t>Refrigerator, 18CF Energy Star qualified, minimum</t>
  </si>
  <si>
    <t>Refrigerator, 21.7CF Energy Star qualified, minimum</t>
  </si>
  <si>
    <t>Refrigerator, 21.7CF Energy Star qualified, maximum</t>
  </si>
  <si>
    <t>Oven, built-in, standard</t>
  </si>
  <si>
    <t>Oven, built-in, deluxe</t>
  </si>
  <si>
    <t>Washing machine, Energy star qualified, front loading, minimum</t>
  </si>
  <si>
    <t>Washing machine, Energy star qualified, front loading, maximum</t>
  </si>
  <si>
    <t>Washing machine, Energy star qualified, top loading, minimum</t>
  </si>
  <si>
    <t>Washing machine, Energy star qualified, top loading, maximum</t>
  </si>
  <si>
    <t>Dryer, Electric, front loading, energy star qualified, minimum + vent kit</t>
  </si>
  <si>
    <t>Dryer, Electric, front loading, energy star qualified, maximum + vent kit</t>
  </si>
  <si>
    <t>Range hood, 2 speed, vented, 42" wide, minimum</t>
  </si>
  <si>
    <t>Range hood, 2 speed, vented, 42" wide, maximum</t>
  </si>
  <si>
    <t>EcoInvent: Switch, toggle type {GLO}| market for switch, toggle type | Cut-off, S + EcoInvent: Cable, three-conductor cable {GLO}| market for cable, three-conductor cable | Cut-off, S</t>
  </si>
  <si>
    <t>Assume 1 switch weight 0.05kg + 4m of cable per outlet/switch</t>
  </si>
  <si>
    <t>Assemblies 9-Electrical 10-Electric Service Systems</t>
  </si>
  <si>
    <t>100 Amp Service, Panel board, 12 circuit</t>
  </si>
  <si>
    <t>200 Amp Service, Panel board, 24 circuit</t>
  </si>
  <si>
    <t>USEEIO v2.1: USEEIO analysis for NAICS Code 335930/US (Wiring device manufacturing). Input was demand vector with only $305 for 335930/US.</t>
  </si>
  <si>
    <t>industry</t>
  </si>
  <si>
    <t>naics_code</t>
  </si>
  <si>
    <t>kg_co2</t>
  </si>
  <si>
    <t xml:space="preserve"> 0.53 </t>
  </si>
  <si>
    <t>All other converted paper product manufacturing</t>
  </si>
  <si>
    <t>322299</t>
  </si>
  <si>
    <t xml:space="preserve"> 0.74 </t>
  </si>
  <si>
    <t xml:space="preserve"> 1.02 </t>
  </si>
  <si>
    <t>1.1</t>
  </si>
  <si>
    <t>Mineral Wool Manufacturing</t>
  </si>
  <si>
    <t>327993</t>
  </si>
  <si>
    <t>1.6</t>
  </si>
  <si>
    <t>2.94</t>
  </si>
  <si>
    <t>2.5</t>
  </si>
  <si>
    <t>1.34</t>
  </si>
  <si>
    <t>2.19</t>
  </si>
  <si>
    <t>2.68</t>
  </si>
  <si>
    <t>Polystyrene foam products</t>
  </si>
  <si>
    <t>326140</t>
  </si>
  <si>
    <t>1.48</t>
  </si>
  <si>
    <t>Urethane and other foam products</t>
  </si>
  <si>
    <t>326150</t>
  </si>
  <si>
    <t>Aluminum product manufacturing from purchased aluminum</t>
  </si>
  <si>
    <t>33131B</t>
  </si>
  <si>
    <t>3.2</t>
  </si>
  <si>
    <t>Steel product manufacturing from purchased steel</t>
  </si>
  <si>
    <t>331200</t>
  </si>
  <si>
    <t>2.563333333</t>
  </si>
  <si>
    <t>heat pump - 36,000 btu</t>
  </si>
  <si>
    <t>1843</t>
  </si>
  <si>
    <t>Air conditioning, refrigeration, and warm air heating equipment manufacturing</t>
  </si>
  <si>
    <t>333415</t>
  </si>
  <si>
    <t>natural gas furnace - 88,000 btu</t>
  </si>
  <si>
    <t>1776</t>
  </si>
  <si>
    <t>natural gas furnace - 110,000 btu</t>
  </si>
  <si>
    <t>3583</t>
  </si>
  <si>
    <t>natural gas furnace - 66,000 btu</t>
  </si>
  <si>
    <t>2576</t>
  </si>
  <si>
    <t>natural gas furnace - 44,000 btu</t>
  </si>
  <si>
    <t>1647</t>
  </si>
  <si>
    <t>electric furnace - 68,242 btu</t>
  </si>
  <si>
    <t>1952</t>
  </si>
  <si>
    <t>electric furnace - 51,182 btu</t>
  </si>
  <si>
    <t>1727</t>
  </si>
  <si>
    <t>electric furnace - 40,878 btu</t>
  </si>
  <si>
    <t>1677</t>
  </si>
  <si>
    <t>electric furnace - 34,121 btu</t>
  </si>
  <si>
    <t>1630</t>
  </si>
  <si>
    <t>oil furnace - 84,000 - 140,000 btu</t>
  </si>
  <si>
    <t>3724</t>
  </si>
  <si>
    <t>oil furnace - 70,000 - 106,250 btu</t>
  </si>
  <si>
    <t>2885</t>
  </si>
  <si>
    <t>oil furnace - 119,000 - 156,250 btu</t>
  </si>
  <si>
    <t>3087</t>
  </si>
  <si>
    <t xml:space="preserve">3/8" OSB </t>
  </si>
  <si>
    <t>0.860625</t>
  </si>
  <si>
    <t>Veneer, plywood, and engineered wood product manufacturing</t>
  </si>
  <si>
    <t>321200</t>
  </si>
  <si>
    <t>0.984375</t>
  </si>
  <si>
    <t>1.291875</t>
  </si>
  <si>
    <t>1.794375</t>
  </si>
  <si>
    <t>1.209375</t>
  </si>
  <si>
    <t>1.55875</t>
  </si>
  <si>
    <t>1.203125</t>
  </si>
  <si>
    <t>1.603125</t>
  </si>
  <si>
    <t>1.65625</t>
  </si>
  <si>
    <t>1.674375</t>
  </si>
  <si>
    <t>0.417149758</t>
  </si>
  <si>
    <t>Other wood product manufacturing</t>
  </si>
  <si>
    <t>3219A0</t>
  </si>
  <si>
    <t>0.533333333</t>
  </si>
  <si>
    <t>0.861342593</t>
  </si>
  <si>
    <t>6.99</t>
  </si>
  <si>
    <t>Wooden windows, door, and flooring</t>
  </si>
  <si>
    <t>321910</t>
  </si>
  <si>
    <t>5.99</t>
  </si>
  <si>
    <t>5.29</t>
  </si>
  <si>
    <t>4.4</t>
  </si>
  <si>
    <t>6.29</t>
  </si>
  <si>
    <t>7.66</t>
  </si>
  <si>
    <t>Cut stone and stone products</t>
  </si>
  <si>
    <t>327991</t>
  </si>
  <si>
    <t>5.49</t>
  </si>
  <si>
    <t>16.99</t>
  </si>
  <si>
    <t>8.99</t>
  </si>
  <si>
    <t>Clay and ceramic products</t>
  </si>
  <si>
    <t>327100</t>
  </si>
  <si>
    <t>13.06</t>
  </si>
  <si>
    <t>1.2</t>
  </si>
  <si>
    <t>5.79</t>
  </si>
  <si>
    <t>10.47</t>
  </si>
  <si>
    <t>15.87</t>
  </si>
  <si>
    <t>4.29</t>
  </si>
  <si>
    <t>5.15</t>
  </si>
  <si>
    <t>Other plastics product manufacturing</t>
  </si>
  <si>
    <t>326190</t>
  </si>
  <si>
    <t>4.63</t>
  </si>
  <si>
    <t>3.49</t>
  </si>
  <si>
    <t>Carpet and rug mills</t>
  </si>
  <si>
    <t>314110</t>
  </si>
  <si>
    <t>3.79</t>
  </si>
  <si>
    <t>4.99</t>
  </si>
  <si>
    <t>4.44</t>
  </si>
  <si>
    <t>6.64</t>
  </si>
  <si>
    <t>8.04</t>
  </si>
  <si>
    <t>1</t>
  </si>
  <si>
    <t>3.69</t>
  </si>
  <si>
    <t>Home Depot lowest estimate</t>
  </si>
  <si>
    <t>400</t>
  </si>
  <si>
    <t>Wood kitchen cabinet and countertop manufacturing</t>
  </si>
  <si>
    <t>337110</t>
  </si>
  <si>
    <t>Home Depot medium estimate</t>
  </si>
  <si>
    <t>4500</t>
  </si>
  <si>
    <t>Home Depot higher estimate</t>
  </si>
  <si>
    <t>10000</t>
  </si>
  <si>
    <t>485</t>
  </si>
  <si>
    <t>9000</t>
  </si>
  <si>
    <t>571</t>
  </si>
  <si>
    <t>2000</t>
  </si>
  <si>
    <t>5000</t>
  </si>
  <si>
    <t>24" vanity</t>
  </si>
  <si>
    <t>158</t>
  </si>
  <si>
    <t>36" vanity</t>
  </si>
  <si>
    <t>549</t>
  </si>
  <si>
    <t>60" vanity</t>
  </si>
  <si>
    <t>811</t>
  </si>
  <si>
    <t>23" wall cabinet</t>
  </si>
  <si>
    <t>90</t>
  </si>
  <si>
    <t>26.5" wall cabinet</t>
  </si>
  <si>
    <t>208</t>
  </si>
  <si>
    <t>26" wall cabinet</t>
  </si>
  <si>
    <t>297</t>
  </si>
  <si>
    <t>electric water heater - 50 gallon</t>
  </si>
  <si>
    <t>689</t>
  </si>
  <si>
    <t>Heating equipment other than warm air furnaces</t>
  </si>
  <si>
    <t>333414</t>
  </si>
  <si>
    <t>519</t>
  </si>
  <si>
    <t>electric water heater - 38 gallon</t>
  </si>
  <si>
    <t>529</t>
  </si>
  <si>
    <t>natural gas water heater - 50 gallon</t>
  </si>
  <si>
    <t>669</t>
  </si>
  <si>
    <t>879</t>
  </si>
  <si>
    <t>natural gas water heater - 40 gallon</t>
  </si>
  <si>
    <t>719</t>
  </si>
  <si>
    <t>tankless natural gas water heater - 9.5 gpm</t>
  </si>
  <si>
    <t>1469</t>
  </si>
  <si>
    <t>985</t>
  </si>
  <si>
    <t>tankless natural gas water heater - 11 gpm</t>
  </si>
  <si>
    <t>1855</t>
  </si>
  <si>
    <t>tankless electric water heater - 3.5 gpm</t>
  </si>
  <si>
    <t>459</t>
  </si>
  <si>
    <t>tankless electric water heater - 5.3 gpm</t>
  </si>
  <si>
    <t>559</t>
  </si>
  <si>
    <t>tankless electric water heater - 7 gpm</t>
  </si>
  <si>
    <t>619</t>
  </si>
  <si>
    <t>0.076</t>
  </si>
  <si>
    <t>Paint and coating manufacturing</t>
  </si>
  <si>
    <t>325510</t>
  </si>
  <si>
    <t>0.1675</t>
  </si>
  <si>
    <t>wood exterior door</t>
  </si>
  <si>
    <t>708</t>
  </si>
  <si>
    <t>855</t>
  </si>
  <si>
    <t>1350</t>
  </si>
  <si>
    <t>597</t>
  </si>
  <si>
    <t>Glass and Glass Product Manufacturing</t>
  </si>
  <si>
    <t>327200</t>
  </si>
  <si>
    <t>399</t>
  </si>
  <si>
    <t>1048</t>
  </si>
  <si>
    <t>steel exterior door</t>
  </si>
  <si>
    <t>265</t>
  </si>
  <si>
    <t>Metal windows, doors, and architectural products</t>
  </si>
  <si>
    <t>332320</t>
  </si>
  <si>
    <t>349</t>
  </si>
  <si>
    <t>169</t>
  </si>
  <si>
    <t>hollow-core interior door</t>
  </si>
  <si>
    <t>58</t>
  </si>
  <si>
    <t>66</t>
  </si>
  <si>
    <t>82</t>
  </si>
  <si>
    <t>0.366875</t>
  </si>
  <si>
    <t>Lime and gypsum products</t>
  </si>
  <si>
    <t>327400</t>
  </si>
  <si>
    <t>0.514375</t>
  </si>
  <si>
    <t>0.3953125</t>
  </si>
  <si>
    <t>0.40375</t>
  </si>
  <si>
    <t>0.37</t>
  </si>
  <si>
    <t>0.52</t>
  </si>
  <si>
    <t>0.962556306</t>
  </si>
  <si>
    <t>0.750611979</t>
  </si>
  <si>
    <t>0.583767202</t>
  </si>
  <si>
    <t>0.46675</t>
  </si>
  <si>
    <t>0.754552083</t>
  </si>
  <si>
    <t>0.629923611</t>
  </si>
  <si>
    <t>0.64625</t>
  </si>
  <si>
    <t>1.082167742</t>
  </si>
  <si>
    <t>0.991674376</t>
  </si>
  <si>
    <t>0.969877913</t>
  </si>
  <si>
    <t>0.865947787</t>
  </si>
  <si>
    <t>0.868055556</t>
  </si>
  <si>
    <t>1.149234694</t>
  </si>
  <si>
    <t>1.235969388</t>
  </si>
  <si>
    <t>MDF Base Moulding</t>
  </si>
  <si>
    <t>2.4225</t>
  </si>
  <si>
    <t>Pine wood baseboard molding</t>
  </si>
  <si>
    <t>Vinyl Base Molding</t>
  </si>
  <si>
    <t>1.928333333</t>
  </si>
  <si>
    <t>10.1 ft3 Refrigerator</t>
  </si>
  <si>
    <t>379</t>
  </si>
  <si>
    <t>Household refrigerator and home freezer manufacturing</t>
  </si>
  <si>
    <t>335222</t>
  </si>
  <si>
    <t>18.7 ft3 Refrigerator</t>
  </si>
  <si>
    <t>799</t>
  </si>
  <si>
    <t>17.6 ft3 Refrigerator</t>
  </si>
  <si>
    <t>1198</t>
  </si>
  <si>
    <t>24 in. dishwasher</t>
  </si>
  <si>
    <t>348</t>
  </si>
  <si>
    <t>Other major household appliance manufacturing</t>
  </si>
  <si>
    <t>335228</t>
  </si>
  <si>
    <t>548</t>
  </si>
  <si>
    <t>898</t>
  </si>
  <si>
    <t>.7 ft3 microwave</t>
  </si>
  <si>
    <t>65</t>
  </si>
  <si>
    <t>Household cooking appliance manufacturing</t>
  </si>
  <si>
    <t>335221</t>
  </si>
  <si>
    <t>1.6 ft3 microwave</t>
  </si>
  <si>
    <t>198</t>
  </si>
  <si>
    <t>2.2 ft3 microwave</t>
  </si>
  <si>
    <t>449</t>
  </si>
  <si>
    <t>Top load washer</t>
  </si>
  <si>
    <t>478</t>
  </si>
  <si>
    <t>Household laundry equipment manufacturing</t>
  </si>
  <si>
    <t>335224</t>
  </si>
  <si>
    <t>578</t>
  </si>
  <si>
    <t>Front load washer</t>
  </si>
  <si>
    <t>748</t>
  </si>
  <si>
    <t>628</t>
  </si>
  <si>
    <t>Electric dryer</t>
  </si>
  <si>
    <t>598</t>
  </si>
  <si>
    <t>Gas dryer</t>
  </si>
  <si>
    <t>798</t>
  </si>
  <si>
    <t>Electric Range</t>
  </si>
  <si>
    <t>648</t>
  </si>
  <si>
    <t>Gas Range</t>
  </si>
  <si>
    <t>Under cabinet range hood</t>
  </si>
  <si>
    <t>229</t>
  </si>
  <si>
    <t>133</t>
  </si>
  <si>
    <t>281</t>
  </si>
  <si>
    <t>15 amp duplex outlet</t>
  </si>
  <si>
    <t>Wiring device manufacturing</t>
  </si>
  <si>
    <t>335930</t>
  </si>
  <si>
    <t>1.89</t>
  </si>
  <si>
    <t>1.22</t>
  </si>
  <si>
    <t>light switch</t>
  </si>
  <si>
    <t>1.7</t>
  </si>
  <si>
    <t>0.77</t>
  </si>
  <si>
    <t>Communication and energy wire and cable manufacturing</t>
  </si>
  <si>
    <t>335920</t>
  </si>
  <si>
    <t>12/2 solid CerroMax</t>
  </si>
  <si>
    <t>298</t>
  </si>
  <si>
    <t>285</t>
  </si>
  <si>
    <t>31.25x60.25 double hung</t>
  </si>
  <si>
    <t>289</t>
  </si>
  <si>
    <t>29.375x56.5 double hung</t>
  </si>
  <si>
    <t>579</t>
  </si>
  <si>
    <t>37-5/8x56-7/8 double hung</t>
  </si>
  <si>
    <t>878</t>
  </si>
  <si>
    <t>0.53</t>
  </si>
  <si>
    <t>0.74</t>
  </si>
  <si>
    <t>0.08</t>
  </si>
  <si>
    <t>Finished and coated fabric</t>
  </si>
  <si>
    <t>313300</t>
  </si>
  <si>
    <t>0.24</t>
  </si>
  <si>
    <t>0.06</t>
  </si>
  <si>
    <t>Synthetic rubber and artificial and synthetic fibers and filaments manufacturing</t>
  </si>
  <si>
    <t>3252A0</t>
  </si>
  <si>
    <t>0.07</t>
  </si>
  <si>
    <t>0.1</t>
  </si>
  <si>
    <t>324122</t>
  </si>
  <si>
    <t>2.24</t>
  </si>
  <si>
    <t>8.35</t>
  </si>
  <si>
    <t>11.8</t>
  </si>
  <si>
    <t>15.25</t>
  </si>
  <si>
    <t>Metal Roofing</t>
  </si>
  <si>
    <t>Ornamental and architectural metal products manufacturing</t>
  </si>
  <si>
    <t>1.8</t>
  </si>
  <si>
    <t>2.8</t>
  </si>
  <si>
    <t>2.18</t>
  </si>
  <si>
    <t>5</t>
  </si>
  <si>
    <t>10</t>
  </si>
  <si>
    <t>1.59</t>
  </si>
  <si>
    <t>0.896</t>
  </si>
  <si>
    <t>5.92</t>
  </si>
  <si>
    <t>2</t>
  </si>
  <si>
    <t>4.5</t>
  </si>
  <si>
    <t>7</t>
  </si>
  <si>
    <t>4.28</t>
  </si>
  <si>
    <t>Plywood and veneer</t>
  </si>
  <si>
    <t>3.16</t>
  </si>
  <si>
    <t>9.72</t>
  </si>
  <si>
    <t>0.55</t>
  </si>
  <si>
    <t>Other nonmetallic mineral products</t>
  </si>
  <si>
    <t>327999</t>
  </si>
  <si>
    <t>0.565</t>
  </si>
  <si>
    <t>4.092546584</t>
  </si>
  <si>
    <t>3.928571429</t>
  </si>
  <si>
    <t>3.821721311</t>
  </si>
  <si>
    <t>USEEIO v2.1: USEEIO analysis for NAICS Code 335930/US (Wiring device manufacturing). Input was demand vector with only $725 for 335930/US.</t>
  </si>
  <si>
    <t>Aluminum Window, incl. frame and glazing, single hung, 2'x3' opening</t>
  </si>
  <si>
    <t>Wood window, double hung, incl. frame, double insulated glass, 2'6"x3'4"</t>
  </si>
  <si>
    <t>Double-hung wood window, metal-clad, dbl. insulated glass, 2'6"x3'0"</t>
  </si>
  <si>
    <t>Vinyl Single-hung window, 33"x53"</t>
  </si>
  <si>
    <t>08 53 13.20 Vinyl Single-Hung Windows</t>
  </si>
  <si>
    <t>08 52 13.30 Double-Hung Wood Windows, Metal-Clad</t>
  </si>
  <si>
    <t>08 52 10.30 Wood Windows</t>
  </si>
  <si>
    <t>Painting ceilings, complete, including surface prep, primer &amp; 2 coats finish</t>
  </si>
  <si>
    <t>Assemblies 5-Roofing 10-Gable End Roofing Systems</t>
  </si>
  <si>
    <t>Sheathing, Plywood on roofs, CDX,  3/8", Pneumatic nailed</t>
  </si>
  <si>
    <t>Sheathing, Plywood on roofs, CDX,  1/2", Pneumatic nailed</t>
  </si>
  <si>
    <t>Sheathing, Plywood on roofs, CDX,  5/8", Pneumatic nailed</t>
  </si>
  <si>
    <t>Sheathing, Plywood on roofs, CDX,  3/4", Pneumatic nailed</t>
  </si>
  <si>
    <t>Sheathing, Plywood on walls, CDX,  3/8", Pneumatic nailed</t>
  </si>
  <si>
    <t>Sheathing, Plywood on walls, CDX,  1/2", Pneumatic nailed</t>
  </si>
  <si>
    <t>Sheathing, Plywood on walls, CDX,  5/8", Pneumatic nailed</t>
  </si>
  <si>
    <t>Sheathing, Plywood on walls, CDX,  3/4", Pneumatic nailed</t>
  </si>
  <si>
    <t>Aluminum Roof Panels &amp; 1 layer felt underlay</t>
  </si>
  <si>
    <t>Aluminum Roof Panels &amp; 2 layer felt underlay</t>
  </si>
  <si>
    <t>Assume 0.76 kg/ft2 (https://roofobservations.com/weight-of-roofing-materials/). Assume transportation ghg is same as for asphalt shingles (~0.30 kg)</t>
  </si>
  <si>
    <t>LCA Commons: NREL/USLCI - Aluminum, sheet, coated, at plant</t>
  </si>
  <si>
    <t>https://www.lcacommons.gov/lca-collaboration/National_Renewable_Energy_Laboratory/USLCI_Database_Public/dataset/PROCESS/0f02f4bf-055b-35ff-ac40-1a21be06165f</t>
  </si>
  <si>
    <t>Asphalt</t>
  </si>
  <si>
    <t>Clay</t>
  </si>
  <si>
    <t>Aluminum</t>
  </si>
  <si>
    <t>04 21 13.13 Brick Veneer Masonry - 2000 standard, sl. Common</t>
  </si>
  <si>
    <t>EIFS, Field applied, 1" EPS insulation</t>
  </si>
  <si>
    <t>EIFS, Field applied, 2" EPS insulation</t>
  </si>
  <si>
    <t>Aluminum Siding, 0.024" thick 8" wide</t>
  </si>
  <si>
    <t>Wood, cedar bevel, A grade, 1/2"x6"</t>
  </si>
  <si>
    <t>Vinyl siding, clapboard profile, double 4 + Insulation, fan folded extruded PS 1/4"</t>
  </si>
  <si>
    <t>09 24 23.40 Stucco</t>
  </si>
  <si>
    <t>Stucco, 3 coats 1" thick on wood frame</t>
  </si>
  <si>
    <t>lb</t>
  </si>
  <si>
    <t>https://hvacguideguys.com/how-much-does-hvac-duct-weight/</t>
  </si>
  <si>
    <t>Steel rectangular duct, 2.5lb (1.14kg) per foot</t>
  </si>
  <si>
    <t>Steel rectangular duct, 4.5lb (2.04kg) per foot</t>
  </si>
  <si>
    <t>Aluminum rectangular duct, 1.2lb (0.55kg) per foot</t>
  </si>
  <si>
    <t>Aluminum rectangular duct, 2.8lb (1.27kg) per foot</t>
  </si>
  <si>
    <t>https://www.lcacommons.gov/lca-collaboration/National_Renewable_Energy_Laboratory/USLCI_Database_Public/dataset/PROCESS/41ecdfe1-8026-3373-96c4-ee1921f2525c</t>
  </si>
  <si>
    <t>LCACommons: NREL/USLCI - Galvanized steel coil, coated, at plant</t>
  </si>
  <si>
    <t>Steel</t>
  </si>
  <si>
    <t>Aluminum rectangular duct, 2lb (.91kg) per foot</t>
  </si>
  <si>
    <t>Steel rectangular duct, 3.5lb (2.04kg) per foot</t>
  </si>
  <si>
    <t>group_weight</t>
  </si>
  <si>
    <t>product_weight</t>
  </si>
  <si>
    <t>USEEIO v2.1: USEEIO analysis for Code 333414/US:Heating equipment (except warm air furnaces) manufacturing. Input was demand vector with only $750 for 333414/US.</t>
  </si>
  <si>
    <t>USEEIO v2.1: USEEIO analysis for Code 333414/US:Heating equipment (except warm air furnaces) manufacturing. Input was demand vector with only $1050 for 333414/US.</t>
  </si>
  <si>
    <t>USEEIO v2.1: USEEIO analysis for Code 333414/US:Heating equipment (except warm air furnaces) manufacturing. Input was demand vector with only $2100 for 333414/US.</t>
  </si>
  <si>
    <t>USEEIO v2.1: USEEIO analysis for Code 333414/US:Heating equipment (except warm air furnaces) manufacturing. Input was demand vector with only $2900 for 333414/US.</t>
  </si>
  <si>
    <t>USD</t>
  </si>
  <si>
    <t>USEEIO v2.1: USEEIO analysis for Code 333414/US:Heating equipment (except warm air furnaces) manufacturing. Input was demand vector with only $1900 for 333414/US.</t>
  </si>
  <si>
    <t>USEEIO v2.1: USEEIO analysis for Code 333414/US:Heating equipment (except warm air furnaces) manufacturing. Input was demand vector with only $2650 for 333414/US.</t>
  </si>
  <si>
    <t>USEEIO v2.1: USEEIO analysis for Code 333414/US:Heating equipment (except warm air furnaces) manufacturing. Input was demand vector with only $740 for 333414/US.</t>
  </si>
  <si>
    <t>USEEIO v2.1: USEEIO analysis for Code 333414/US:Heating equipment (except warm air furnaces) manufacturing. Input was demand vector with only $1025 for 333414/US.</t>
  </si>
  <si>
    <t>fid</t>
  </si>
  <si>
    <t>n</t>
  </si>
  <si>
    <t>a</t>
  </si>
  <si>
    <t>b</t>
  </si>
  <si>
    <t>material</t>
  </si>
  <si>
    <t>wood</t>
  </si>
  <si>
    <t>metal</t>
  </si>
  <si>
    <t>wool</t>
  </si>
  <si>
    <t>nylon</t>
  </si>
  <si>
    <t>plastic</t>
  </si>
  <si>
    <t>glass</t>
  </si>
  <si>
    <t>cotton</t>
  </si>
  <si>
    <t>silk</t>
  </si>
  <si>
    <t>xyz</t>
  </si>
  <si>
    <t>component_join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</si>
  <si>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</si>
  <si>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</si>
  <si>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</si>
  <si>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</si>
  <si>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</si>
  <si>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</si>
  <si>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</si>
  <si>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</si>
  <si>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</si>
  <si>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</si>
  <si>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o</t>
  </si>
  <si>
    <t>p</t>
  </si>
  <si>
    <t>q</t>
  </si>
  <si>
    <t>r</t>
  </si>
  <si>
    <t>s</t>
  </si>
  <si>
    <t>t</t>
  </si>
  <si>
    <t>u</t>
  </si>
  <si>
    <t>v</t>
  </si>
  <si>
    <t>a1</t>
  </si>
  <si>
    <t>b1</t>
  </si>
  <si>
    <t>b2</t>
  </si>
  <si>
    <t>23 54 16.21 Solid Fuel-Fired Furnaces</t>
  </si>
  <si>
    <t>Furnace</t>
  </si>
  <si>
    <t>Wood fired furnace, 24" long firebox</t>
  </si>
  <si>
    <t>07 31 13.10 Asphalt Roof Shingles, 07 51 13.40 Felts</t>
  </si>
  <si>
    <t>07 32 13.10 Clay Tiles, 07 51 13.40 Felts</t>
  </si>
  <si>
    <t>07 41 13.10 Aluminum Roof Panels, 07 51 13.40 Felts</t>
  </si>
  <si>
    <t>07 41 13.20 Steel Roofing Panels, 07 51 13.40 Felts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</si>
</sst>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43" fontId="0" fillId="0" borderId="0" xfId="1" applyFont="1"/>
    <xf numFmtId="11" fontId="0" fillId="0" borderId="0" xfId="0" applyNumberFormat="1"/>
    <xf numFmtId="0" fontId="0" fillId="2" borderId="0" xfId="0" applyFill="1"/>
    <xf numFmtId="0" fontId="0" fillId="3" borderId="0" xfId="0" applyFill="1"/>
    <xf numFmtId="2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2CED5-68C7-4B05-97D5-B1E6F5C025C6}">
  <dimension ref="A1:A38"/>
  <sheetViews>
    <sheetView tabSelected="1" workbookViewId="0">
      <selection activeCell="A14" sqref="A14"/>
    </sheetView>
  </sheetViews>
  <sheetFormatPr defaultRowHeight="15.75" x14ac:dyDescent="0.25"/>
  <cols>
    <col min="1" max="1" width="43.5" customWidth="1"/>
  </cols>
  <sheetData>
    <row r="1" spans="1:1" x14ac:dyDescent="0.25">
      <c r="A1" t="s">
        <v>1</v>
      </c>
    </row>
    <row r="2" spans="1:1" x14ac:dyDescent="0.25">
      <c r="A2" t="s">
        <v>9</v>
      </c>
    </row>
    <row r="3" spans="1:1" x14ac:dyDescent="0.25">
      <c r="A3" t="s">
        <v>75</v>
      </c>
    </row>
    <row r="4" spans="1:1" x14ac:dyDescent="0.25">
      <c r="A4" t="s">
        <v>104</v>
      </c>
    </row>
    <row r="5" spans="1:1" x14ac:dyDescent="0.25">
      <c r="A5" t="s">
        <v>168</v>
      </c>
    </row>
    <row r="6" spans="1:1" x14ac:dyDescent="0.25">
      <c r="A6" t="s">
        <v>180</v>
      </c>
    </row>
    <row r="7" spans="1:1" x14ac:dyDescent="0.25">
      <c r="A7" t="s">
        <v>211</v>
      </c>
    </row>
    <row r="8" spans="1:1" x14ac:dyDescent="0.25">
      <c r="A8" t="s">
        <v>311</v>
      </c>
    </row>
    <row r="9" spans="1:1" x14ac:dyDescent="0.25">
      <c r="A9" t="s">
        <v>337</v>
      </c>
    </row>
    <row r="10" spans="1:1" x14ac:dyDescent="0.25">
      <c r="A10" t="s">
        <v>338</v>
      </c>
    </row>
    <row r="11" spans="1:1" x14ac:dyDescent="0.25">
      <c r="A11" t="s">
        <v>364</v>
      </c>
    </row>
    <row r="12" spans="1:1" x14ac:dyDescent="0.25">
      <c r="A12" t="s">
        <v>399</v>
      </c>
    </row>
    <row r="13" spans="1:1" x14ac:dyDescent="0.25">
      <c r="A13" t="s">
        <v>432</v>
      </c>
    </row>
    <row r="14" spans="1:1" x14ac:dyDescent="0.25">
      <c r="A14" t="s">
        <v>437</v>
      </c>
    </row>
    <row r="15" spans="1:1" x14ac:dyDescent="0.25">
      <c r="A15" t="s">
        <v>441</v>
      </c>
    </row>
    <row r="16" spans="1:1" x14ac:dyDescent="0.25">
      <c r="A16" t="s">
        <v>472</v>
      </c>
    </row>
    <row r="17" spans="1:1" x14ac:dyDescent="0.25">
      <c r="A17" t="s">
        <v>485</v>
      </c>
    </row>
    <row r="18" spans="1:1" x14ac:dyDescent="0.25">
      <c r="A18" t="s">
        <v>509</v>
      </c>
    </row>
    <row r="19" spans="1:1" x14ac:dyDescent="0.25">
      <c r="A19" t="s">
        <v>535</v>
      </c>
    </row>
    <row r="20" spans="1:1" x14ac:dyDescent="0.25">
      <c r="A20" t="s">
        <v>552</v>
      </c>
    </row>
    <row r="21" spans="1:1" x14ac:dyDescent="0.25">
      <c r="A21" t="s">
        <v>573</v>
      </c>
    </row>
    <row r="22" spans="1:1" x14ac:dyDescent="0.25">
      <c r="A22" t="s">
        <v>580</v>
      </c>
    </row>
    <row r="23" spans="1:1" x14ac:dyDescent="0.25">
      <c r="A23" t="s">
        <v>589</v>
      </c>
    </row>
    <row r="24" spans="1:1" x14ac:dyDescent="0.25">
      <c r="A24" t="s">
        <v>597</v>
      </c>
    </row>
    <row r="25" spans="1:1" x14ac:dyDescent="0.25">
      <c r="A25" t="s">
        <v>609</v>
      </c>
    </row>
    <row r="26" spans="1:1" x14ac:dyDescent="0.25">
      <c r="A26" t="s">
        <v>619</v>
      </c>
    </row>
    <row r="27" spans="1:1" x14ac:dyDescent="0.25">
      <c r="A27" t="s">
        <v>627</v>
      </c>
    </row>
    <row r="28" spans="1:1" x14ac:dyDescent="0.25">
      <c r="A28" t="s">
        <v>637</v>
      </c>
    </row>
    <row r="29" spans="1:1" x14ac:dyDescent="0.25">
      <c r="A29" t="s">
        <v>638</v>
      </c>
    </row>
    <row r="30" spans="1:1" x14ac:dyDescent="0.25">
      <c r="A30" t="s">
        <v>651</v>
      </c>
    </row>
    <row r="31" spans="1:1" x14ac:dyDescent="0.25">
      <c r="A31" t="s">
        <v>661</v>
      </c>
    </row>
    <row r="32" spans="1:1" x14ac:dyDescent="0.25">
      <c r="A32" t="s">
        <v>677</v>
      </c>
    </row>
    <row r="33" spans="1:1" x14ac:dyDescent="0.25">
      <c r="A33" t="s">
        <v>678</v>
      </c>
    </row>
    <row r="34" spans="1:1" x14ac:dyDescent="0.25">
      <c r="A34" t="s">
        <v>685</v>
      </c>
    </row>
    <row r="35" spans="1:1" x14ac:dyDescent="0.25">
      <c r="A35" t="s">
        <v>741</v>
      </c>
    </row>
    <row r="36" spans="1:1" x14ac:dyDescent="0.25">
      <c r="A36" t="s">
        <v>750</v>
      </c>
    </row>
    <row r="37" spans="1:1" x14ac:dyDescent="0.25">
      <c r="A37" t="s">
        <v>774</v>
      </c>
    </row>
    <row r="38" spans="1:1" x14ac:dyDescent="0.25">
      <c r="A38" t="s">
        <v>818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A43C7-5EDC-420A-BAE1-7DE9263A4D1A}">
  <dimension ref="A1:I304"/>
  <sheetViews>
    <sheetView showOutlineSymbols="0" workbookViewId="0">
      <pane ySplit="1" topLeftCell="A14" activePane="bottomLeft" state="frozen"/>
      <selection pane="bottomLeft" activeCell="C23" sqref="C23:C26"/>
    </sheetView>
  </sheetViews>
  <sheetFormatPr defaultColWidth="8.875" defaultRowHeight="15.75" x14ac:dyDescent="0.25"/>
  <cols>
    <col min="1" max="1" width="34" bestFit="1" customWidth="1"/>
    <col min="3" max="3" width="69.125" bestFit="1" customWidth="1"/>
    <col min="5" max="5" width="10.375" bestFit="1" customWidth="1"/>
    <col min="6" max="6" width="11" bestFit="1" customWidth="1"/>
    <col min="7" max="7" width="17.5" bestFit="1" customWidth="1"/>
  </cols>
  <sheetData>
    <row r="1" spans="1:9" x14ac:dyDescent="0.25">
      <c r="A1" t="s">
        <v>1</v>
      </c>
      <c r="B1" t="s">
        <v>0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</row>
    <row r="3" spans="1:9" x14ac:dyDescent="0.25">
      <c r="A3" t="s">
        <v>9</v>
      </c>
      <c r="B3" t="s">
        <v>10</v>
      </c>
      <c r="C3" t="s">
        <v>17</v>
      </c>
      <c r="D3" t="s">
        <v>12</v>
      </c>
      <c r="E3" t="s">
        <v>18</v>
      </c>
      <c r="F3" t="s">
        <v>19</v>
      </c>
      <c r="G3" t="s">
        <v>20</v>
      </c>
      <c r="H3" t="s">
        <v>16</v>
      </c>
    </row>
    <row r="4" spans="1:9" x14ac:dyDescent="0.25">
      <c r="A4" t="s">
        <v>9</v>
      </c>
      <c r="B4" t="s">
        <v>10</v>
      </c>
      <c r="C4" t="s">
        <v>21</v>
      </c>
      <c r="D4" t="s">
        <v>12</v>
      </c>
      <c r="E4" t="s">
        <v>22</v>
      </c>
      <c r="F4" t="s">
        <v>23</v>
      </c>
      <c r="G4" t="s">
        <v>24</v>
      </c>
      <c r="H4" t="s">
        <v>16</v>
      </c>
    </row>
    <row r="5" spans="1:9" x14ac:dyDescent="0.25">
      <c r="A5" t="s">
        <v>9</v>
      </c>
      <c r="B5" t="s">
        <v>10</v>
      </c>
      <c r="C5" t="s">
        <v>25</v>
      </c>
      <c r="D5" t="s">
        <v>12</v>
      </c>
      <c r="E5" t="s">
        <v>26</v>
      </c>
      <c r="F5" t="s">
        <v>27</v>
      </c>
      <c r="G5" t="s">
        <v>28</v>
      </c>
      <c r="H5" t="s">
        <v>16</v>
      </c>
    </row>
    <row r="6" spans="1:9" x14ac:dyDescent="0.25">
      <c r="A6" t="s">
        <v>9</v>
      </c>
      <c r="B6" t="s">
        <v>10</v>
      </c>
      <c r="C6" t="s">
        <v>29</v>
      </c>
      <c r="D6" t="s">
        <v>12</v>
      </c>
      <c r="E6" t="s">
        <v>30</v>
      </c>
      <c r="F6" t="s">
        <v>31</v>
      </c>
      <c r="G6" t="s">
        <v>32</v>
      </c>
      <c r="H6" t="s">
        <v>33</v>
      </c>
    </row>
    <row r="7" spans="1:9" x14ac:dyDescent="0.25">
      <c r="A7" t="s">
        <v>9</v>
      </c>
      <c r="B7" t="s">
        <v>10</v>
      </c>
      <c r="C7" t="s">
        <v>34</v>
      </c>
      <c r="D7" t="s">
        <v>12</v>
      </c>
      <c r="E7" t="s">
        <v>35</v>
      </c>
      <c r="F7" t="s">
        <v>36</v>
      </c>
      <c r="G7" t="s">
        <v>37</v>
      </c>
      <c r="H7" t="s">
        <v>33</v>
      </c>
    </row>
    <row r="8" spans="1:9" x14ac:dyDescent="0.25">
      <c r="A8" t="s">
        <v>9</v>
      </c>
      <c r="B8" t="s">
        <v>10</v>
      </c>
      <c r="C8" t="s">
        <v>38</v>
      </c>
      <c r="D8" t="s">
        <v>12</v>
      </c>
      <c r="E8" t="s">
        <v>39</v>
      </c>
      <c r="F8" t="s">
        <v>40</v>
      </c>
      <c r="G8" t="s">
        <v>41</v>
      </c>
      <c r="H8" t="s">
        <v>33</v>
      </c>
    </row>
    <row r="9" spans="1:9" x14ac:dyDescent="0.25">
      <c r="A9" t="s">
        <v>9</v>
      </c>
      <c r="B9" t="s">
        <v>10</v>
      </c>
      <c r="C9" t="s">
        <v>42</v>
      </c>
      <c r="D9" t="s">
        <v>12</v>
      </c>
      <c r="E9" t="s">
        <v>43</v>
      </c>
      <c r="F9" t="s">
        <v>44</v>
      </c>
      <c r="G9" t="s">
        <v>45</v>
      </c>
      <c r="H9" t="s">
        <v>33</v>
      </c>
    </row>
    <row r="10" spans="1:9" x14ac:dyDescent="0.25">
      <c r="A10" t="s">
        <v>9</v>
      </c>
      <c r="B10" t="s">
        <v>10</v>
      </c>
      <c r="C10" t="s">
        <v>46</v>
      </c>
      <c r="D10" t="s">
        <v>12</v>
      </c>
      <c r="E10" t="s">
        <v>47</v>
      </c>
      <c r="F10" t="s">
        <v>48</v>
      </c>
      <c r="G10" t="s">
        <v>49</v>
      </c>
      <c r="H10" t="s">
        <v>16</v>
      </c>
    </row>
    <row r="11" spans="1:9" x14ac:dyDescent="0.25">
      <c r="A11" t="s">
        <v>9</v>
      </c>
      <c r="B11" t="s">
        <v>10</v>
      </c>
      <c r="C11" t="s">
        <v>50</v>
      </c>
      <c r="D11" t="s">
        <v>12</v>
      </c>
      <c r="E11" t="s">
        <v>51</v>
      </c>
      <c r="F11" t="s">
        <v>52</v>
      </c>
      <c r="G11" t="s">
        <v>53</v>
      </c>
      <c r="H11" t="s">
        <v>16</v>
      </c>
    </row>
    <row r="12" spans="1:9" x14ac:dyDescent="0.25">
      <c r="A12" t="s">
        <v>9</v>
      </c>
      <c r="B12" t="s">
        <v>10</v>
      </c>
      <c r="C12" t="s">
        <v>54</v>
      </c>
      <c r="D12" t="s">
        <v>12</v>
      </c>
      <c r="E12" t="s">
        <v>55</v>
      </c>
      <c r="F12" t="s">
        <v>56</v>
      </c>
      <c r="G12" t="s">
        <v>57</v>
      </c>
      <c r="H12" t="s">
        <v>16</v>
      </c>
    </row>
    <row r="13" spans="1:9" x14ac:dyDescent="0.25">
      <c r="A13" t="s">
        <v>9</v>
      </c>
      <c r="B13" t="s">
        <v>10</v>
      </c>
      <c r="C13" t="s">
        <v>58</v>
      </c>
      <c r="D13" t="s">
        <v>12</v>
      </c>
      <c r="E13" t="s">
        <v>59</v>
      </c>
      <c r="F13" t="s">
        <v>57</v>
      </c>
      <c r="G13" t="s">
        <v>60</v>
      </c>
      <c r="H13" t="s">
        <v>16</v>
      </c>
    </row>
    <row r="14" spans="1:9" x14ac:dyDescent="0.25">
      <c r="A14" t="s">
        <v>9</v>
      </c>
      <c r="B14" t="s">
        <v>10</v>
      </c>
      <c r="C14" t="s">
        <v>61</v>
      </c>
      <c r="D14" t="s">
        <v>12</v>
      </c>
      <c r="E14" t="s">
        <v>62</v>
      </c>
      <c r="F14" t="s">
        <v>63</v>
      </c>
      <c r="G14" t="s">
        <v>64</v>
      </c>
      <c r="H14" t="s">
        <v>65</v>
      </c>
    </row>
    <row r="15" spans="1:9" x14ac:dyDescent="0.25">
      <c r="A15" t="s">
        <v>9</v>
      </c>
      <c r="B15" t="s">
        <v>10</v>
      </c>
      <c r="C15" t="s">
        <v>66</v>
      </c>
      <c r="D15" t="s">
        <v>12</v>
      </c>
      <c r="E15" t="s">
        <v>67</v>
      </c>
      <c r="F15" t="s">
        <v>68</v>
      </c>
      <c r="G15" t="s">
        <v>69</v>
      </c>
      <c r="H15" t="s">
        <v>65</v>
      </c>
    </row>
    <row r="16" spans="1:9" x14ac:dyDescent="0.25">
      <c r="A16" t="s">
        <v>9</v>
      </c>
      <c r="B16" t="s">
        <v>10</v>
      </c>
      <c r="C16" t="s">
        <v>70</v>
      </c>
      <c r="D16" t="s">
        <v>12</v>
      </c>
      <c r="E16" t="s">
        <v>71</v>
      </c>
      <c r="F16" t="s">
        <v>72</v>
      </c>
      <c r="G16" t="s">
        <v>73</v>
      </c>
      <c r="H16" t="s">
        <v>74</v>
      </c>
    </row>
    <row r="17" spans="1:9" x14ac:dyDescent="0.25">
      <c r="A17" t="s">
        <v>75</v>
      </c>
      <c r="B17" t="s">
        <v>10</v>
      </c>
      <c r="C17" t="s">
        <v>76</v>
      </c>
      <c r="D17" t="s">
        <v>77</v>
      </c>
      <c r="E17" t="s">
        <v>78</v>
      </c>
      <c r="F17">
        <v>17.45</v>
      </c>
      <c r="G17" t="s">
        <v>79</v>
      </c>
      <c r="H17" t="s">
        <v>80</v>
      </c>
      <c r="I17" t="s">
        <v>81</v>
      </c>
    </row>
    <row r="18" spans="1:9" x14ac:dyDescent="0.25">
      <c r="A18" t="s">
        <v>75</v>
      </c>
      <c r="B18" t="s">
        <v>10</v>
      </c>
      <c r="C18" t="s">
        <v>82</v>
      </c>
      <c r="D18" t="s">
        <v>77</v>
      </c>
      <c r="E18" t="s">
        <v>83</v>
      </c>
      <c r="F18">
        <v>21.09</v>
      </c>
      <c r="G18" t="s">
        <v>84</v>
      </c>
      <c r="H18" t="s">
        <v>80</v>
      </c>
      <c r="I18" t="s">
        <v>85</v>
      </c>
    </row>
    <row r="19" spans="1:9" x14ac:dyDescent="0.25">
      <c r="A19" t="s">
        <v>75</v>
      </c>
      <c r="B19" t="s">
        <v>10</v>
      </c>
      <c r="C19" t="s">
        <v>86</v>
      </c>
      <c r="D19" t="s">
        <v>77</v>
      </c>
      <c r="E19" t="s">
        <v>87</v>
      </c>
      <c r="F19">
        <v>24.32</v>
      </c>
      <c r="G19" t="s">
        <v>88</v>
      </c>
      <c r="H19" t="s">
        <v>80</v>
      </c>
      <c r="I19" t="s">
        <v>89</v>
      </c>
    </row>
    <row r="20" spans="1:9" x14ac:dyDescent="0.25">
      <c r="A20" t="s">
        <v>75</v>
      </c>
      <c r="B20" t="s">
        <v>10</v>
      </c>
      <c r="C20" t="s">
        <v>90</v>
      </c>
      <c r="D20" t="s">
        <v>77</v>
      </c>
      <c r="E20" t="s">
        <v>91</v>
      </c>
      <c r="F20" t="s">
        <v>92</v>
      </c>
      <c r="G20" t="s">
        <v>93</v>
      </c>
      <c r="H20" t="s">
        <v>80</v>
      </c>
      <c r="I20" t="s">
        <v>94</v>
      </c>
    </row>
    <row r="21" spans="1:9" x14ac:dyDescent="0.25">
      <c r="A21" t="s">
        <v>75</v>
      </c>
      <c r="B21" t="s">
        <v>10</v>
      </c>
      <c r="C21" t="s">
        <v>95</v>
      </c>
      <c r="D21" t="s">
        <v>77</v>
      </c>
      <c r="E21" t="s">
        <v>96</v>
      </c>
      <c r="F21" t="s">
        <v>97</v>
      </c>
      <c r="G21" t="s">
        <v>98</v>
      </c>
      <c r="H21" t="s">
        <v>80</v>
      </c>
      <c r="I21" t="s">
        <v>99</v>
      </c>
    </row>
    <row r="22" spans="1:9" x14ac:dyDescent="0.25">
      <c r="A22" t="s">
        <v>75</v>
      </c>
      <c r="B22" t="s">
        <v>10</v>
      </c>
      <c r="C22" t="s">
        <v>95</v>
      </c>
      <c r="D22" t="s">
        <v>77</v>
      </c>
      <c r="E22" t="s">
        <v>100</v>
      </c>
      <c r="F22" t="s">
        <v>101</v>
      </c>
      <c r="G22" t="s">
        <v>102</v>
      </c>
      <c r="H22" t="s">
        <v>80</v>
      </c>
      <c r="I22" t="s">
        <v>103</v>
      </c>
    </row>
    <row r="23" spans="1:9" x14ac:dyDescent="0.25">
      <c r="A23" t="s">
        <v>104</v>
      </c>
      <c r="B23" t="s">
        <v>10</v>
      </c>
      <c r="C23" t="s">
        <v>105</v>
      </c>
      <c r="D23" t="s">
        <v>106</v>
      </c>
      <c r="E23" t="s">
        <v>107</v>
      </c>
      <c r="F23" t="s">
        <v>108</v>
      </c>
      <c r="G23" t="s">
        <v>109</v>
      </c>
      <c r="H23" t="s">
        <v>110</v>
      </c>
    </row>
    <row r="24" spans="1:9" x14ac:dyDescent="0.25">
      <c r="A24" t="s">
        <v>104</v>
      </c>
      <c r="B24" t="s">
        <v>10</v>
      </c>
      <c r="C24" t="s">
        <v>111</v>
      </c>
      <c r="D24" t="s">
        <v>106</v>
      </c>
      <c r="E24" t="s">
        <v>112</v>
      </c>
      <c r="F24" t="s">
        <v>113</v>
      </c>
      <c r="G24" t="s">
        <v>114</v>
      </c>
      <c r="H24" t="s">
        <v>110</v>
      </c>
    </row>
    <row r="25" spans="1:9" x14ac:dyDescent="0.25">
      <c r="A25" t="s">
        <v>104</v>
      </c>
      <c r="B25" t="s">
        <v>10</v>
      </c>
      <c r="C25" t="s">
        <v>115</v>
      </c>
      <c r="D25" t="s">
        <v>106</v>
      </c>
      <c r="E25" t="s">
        <v>116</v>
      </c>
      <c r="F25" t="s">
        <v>117</v>
      </c>
      <c r="G25" t="s">
        <v>118</v>
      </c>
      <c r="H25" t="s">
        <v>110</v>
      </c>
    </row>
    <row r="26" spans="1:9" x14ac:dyDescent="0.25">
      <c r="A26" t="s">
        <v>104</v>
      </c>
      <c r="B26" t="s">
        <v>10</v>
      </c>
      <c r="C26" t="s">
        <v>119</v>
      </c>
      <c r="D26" t="s">
        <v>106</v>
      </c>
      <c r="E26" t="s">
        <v>120</v>
      </c>
      <c r="F26" t="s">
        <v>121</v>
      </c>
      <c r="G26" t="s">
        <v>122</v>
      </c>
      <c r="H26" t="s">
        <v>110</v>
      </c>
    </row>
    <row r="27" spans="1:9" x14ac:dyDescent="0.25">
      <c r="A27" t="s">
        <v>104</v>
      </c>
      <c r="B27" t="s">
        <v>10</v>
      </c>
      <c r="C27" t="s">
        <v>123</v>
      </c>
      <c r="D27" t="s">
        <v>106</v>
      </c>
      <c r="E27" t="s">
        <v>124</v>
      </c>
      <c r="F27" t="s">
        <v>125</v>
      </c>
      <c r="G27" t="s">
        <v>126</v>
      </c>
      <c r="H27" t="s">
        <v>127</v>
      </c>
    </row>
    <row r="28" spans="1:9" x14ac:dyDescent="0.25">
      <c r="A28" t="s">
        <v>104</v>
      </c>
      <c r="B28" t="s">
        <v>10</v>
      </c>
      <c r="C28" t="s">
        <v>128</v>
      </c>
      <c r="D28" t="s">
        <v>106</v>
      </c>
      <c r="E28" t="s">
        <v>129</v>
      </c>
      <c r="F28" t="s">
        <v>130</v>
      </c>
      <c r="G28" t="s">
        <v>131</v>
      </c>
      <c r="H28" t="s">
        <v>127</v>
      </c>
    </row>
    <row r="29" spans="1:9" x14ac:dyDescent="0.25">
      <c r="A29" t="s">
        <v>104</v>
      </c>
      <c r="B29" t="s">
        <v>10</v>
      </c>
      <c r="C29" t="s">
        <v>132</v>
      </c>
      <c r="D29" t="s">
        <v>106</v>
      </c>
      <c r="E29" t="s">
        <v>133</v>
      </c>
      <c r="F29" t="s">
        <v>126</v>
      </c>
      <c r="G29" t="s">
        <v>134</v>
      </c>
      <c r="H29" t="s">
        <v>127</v>
      </c>
    </row>
    <row r="30" spans="1:9" x14ac:dyDescent="0.25">
      <c r="A30" t="s">
        <v>104</v>
      </c>
      <c r="B30" t="s">
        <v>10</v>
      </c>
      <c r="C30" t="s">
        <v>135</v>
      </c>
      <c r="D30" t="s">
        <v>106</v>
      </c>
      <c r="E30" t="s">
        <v>136</v>
      </c>
      <c r="F30" t="s">
        <v>137</v>
      </c>
      <c r="G30" t="s">
        <v>134</v>
      </c>
      <c r="H30" t="s">
        <v>127</v>
      </c>
    </row>
    <row r="31" spans="1:9" x14ac:dyDescent="0.25">
      <c r="A31" t="s">
        <v>104</v>
      </c>
      <c r="B31" t="s">
        <v>10</v>
      </c>
      <c r="C31" t="s">
        <v>138</v>
      </c>
      <c r="D31" t="s">
        <v>106</v>
      </c>
      <c r="E31" t="s">
        <v>139</v>
      </c>
      <c r="F31" t="s">
        <v>140</v>
      </c>
      <c r="G31" t="s">
        <v>141</v>
      </c>
      <c r="H31" t="s">
        <v>142</v>
      </c>
    </row>
    <row r="32" spans="1:9" x14ac:dyDescent="0.25">
      <c r="A32" t="s">
        <v>104</v>
      </c>
      <c r="B32" t="s">
        <v>10</v>
      </c>
      <c r="C32" t="s">
        <v>143</v>
      </c>
      <c r="D32" t="s">
        <v>106</v>
      </c>
      <c r="E32" t="s">
        <v>144</v>
      </c>
      <c r="F32" t="s">
        <v>145</v>
      </c>
      <c r="G32" t="s">
        <v>146</v>
      </c>
      <c r="H32" t="s">
        <v>142</v>
      </c>
    </row>
    <row r="33" spans="1:8" x14ac:dyDescent="0.25">
      <c r="A33" t="s">
        <v>104</v>
      </c>
      <c r="B33" t="s">
        <v>10</v>
      </c>
      <c r="C33" t="s">
        <v>147</v>
      </c>
      <c r="D33" t="s">
        <v>106</v>
      </c>
      <c r="E33" t="s">
        <v>148</v>
      </c>
      <c r="F33" t="s">
        <v>149</v>
      </c>
      <c r="G33" t="s">
        <v>150</v>
      </c>
      <c r="H33" t="s">
        <v>142</v>
      </c>
    </row>
    <row r="34" spans="1:8" x14ac:dyDescent="0.25">
      <c r="A34" t="s">
        <v>104</v>
      </c>
      <c r="B34" t="s">
        <v>10</v>
      </c>
      <c r="C34" t="s">
        <v>151</v>
      </c>
      <c r="D34" t="s">
        <v>106</v>
      </c>
      <c r="E34" t="s">
        <v>152</v>
      </c>
      <c r="F34" t="s">
        <v>153</v>
      </c>
      <c r="G34" t="s">
        <v>154</v>
      </c>
      <c r="H34" t="s">
        <v>155</v>
      </c>
    </row>
    <row r="35" spans="1:8" x14ac:dyDescent="0.25">
      <c r="A35" t="s">
        <v>104</v>
      </c>
      <c r="B35" t="s">
        <v>10</v>
      </c>
      <c r="C35" t="s">
        <v>156</v>
      </c>
      <c r="D35" t="s">
        <v>106</v>
      </c>
      <c r="E35" t="s">
        <v>157</v>
      </c>
      <c r="F35" t="s">
        <v>158</v>
      </c>
      <c r="G35" t="s">
        <v>159</v>
      </c>
      <c r="H35" t="s">
        <v>155</v>
      </c>
    </row>
    <row r="36" spans="1:8" x14ac:dyDescent="0.25">
      <c r="A36" t="s">
        <v>104</v>
      </c>
      <c r="B36" t="s">
        <v>10</v>
      </c>
      <c r="C36" t="s">
        <v>160</v>
      </c>
      <c r="D36" t="s">
        <v>106</v>
      </c>
      <c r="E36" t="s">
        <v>161</v>
      </c>
      <c r="F36" t="s">
        <v>162</v>
      </c>
      <c r="G36" t="s">
        <v>163</v>
      </c>
      <c r="H36" t="s">
        <v>155</v>
      </c>
    </row>
    <row r="37" spans="1:8" x14ac:dyDescent="0.25">
      <c r="A37" t="s">
        <v>104</v>
      </c>
      <c r="B37" t="s">
        <v>10</v>
      </c>
      <c r="C37" t="s">
        <v>164</v>
      </c>
      <c r="D37" t="s">
        <v>106</v>
      </c>
      <c r="E37" t="s">
        <v>165</v>
      </c>
      <c r="F37" t="s">
        <v>166</v>
      </c>
      <c r="G37" t="s">
        <v>167</v>
      </c>
      <c r="H37" t="s">
        <v>155</v>
      </c>
    </row>
    <row r="38" spans="1:8" x14ac:dyDescent="0.25">
      <c r="A38" t="s">
        <v>168</v>
      </c>
      <c r="B38" t="s">
        <v>10</v>
      </c>
      <c r="C38" t="s">
        <v>169</v>
      </c>
      <c r="D38" t="s">
        <v>12</v>
      </c>
      <c r="E38" t="s">
        <v>170</v>
      </c>
      <c r="F38">
        <v>1.24</v>
      </c>
      <c r="G38" t="s">
        <v>171</v>
      </c>
      <c r="H38" t="s">
        <v>172</v>
      </c>
    </row>
    <row r="39" spans="1:8" x14ac:dyDescent="0.25">
      <c r="A39" t="s">
        <v>168</v>
      </c>
      <c r="B39" t="s">
        <v>10</v>
      </c>
      <c r="C39" t="s">
        <v>173</v>
      </c>
      <c r="D39" t="s">
        <v>12</v>
      </c>
      <c r="E39" t="s">
        <v>174</v>
      </c>
      <c r="F39">
        <v>1.36</v>
      </c>
      <c r="G39" t="s">
        <v>176</v>
      </c>
      <c r="H39" t="s">
        <v>172</v>
      </c>
    </row>
    <row r="40" spans="1:8" x14ac:dyDescent="0.25">
      <c r="A40" t="s">
        <v>168</v>
      </c>
      <c r="B40" t="s">
        <v>10</v>
      </c>
      <c r="C40" t="s">
        <v>177</v>
      </c>
      <c r="D40" t="s">
        <v>12</v>
      </c>
      <c r="E40" t="s">
        <v>63</v>
      </c>
      <c r="F40">
        <v>1.52</v>
      </c>
      <c r="G40" t="s">
        <v>179</v>
      </c>
      <c r="H40" t="s">
        <v>172</v>
      </c>
    </row>
    <row r="41" spans="1:8" x14ac:dyDescent="0.25">
      <c r="A41" t="s">
        <v>180</v>
      </c>
      <c r="B41" t="s">
        <v>10</v>
      </c>
      <c r="C41" t="s">
        <v>181</v>
      </c>
      <c r="D41" t="s">
        <v>12</v>
      </c>
      <c r="E41" t="s">
        <v>182</v>
      </c>
      <c r="F41">
        <v>2.33</v>
      </c>
      <c r="G41" t="s">
        <v>183</v>
      </c>
      <c r="H41" t="s">
        <v>184</v>
      </c>
    </row>
    <row r="42" spans="1:8" x14ac:dyDescent="0.25">
      <c r="A42" t="s">
        <v>180</v>
      </c>
      <c r="B42" t="s">
        <v>10</v>
      </c>
      <c r="C42" t="s">
        <v>185</v>
      </c>
      <c r="D42" t="s">
        <v>12</v>
      </c>
      <c r="E42" t="s">
        <v>186</v>
      </c>
      <c r="F42">
        <v>2.54</v>
      </c>
      <c r="G42" t="s">
        <v>37</v>
      </c>
      <c r="H42" t="s">
        <v>184</v>
      </c>
    </row>
    <row r="43" spans="1:8" x14ac:dyDescent="0.25">
      <c r="A43" t="s">
        <v>180</v>
      </c>
      <c r="B43" t="s">
        <v>10</v>
      </c>
      <c r="C43" t="s">
        <v>187</v>
      </c>
      <c r="D43" t="s">
        <v>12</v>
      </c>
      <c r="E43" t="s">
        <v>188</v>
      </c>
      <c r="F43">
        <v>3.25</v>
      </c>
      <c r="G43" t="s">
        <v>40</v>
      </c>
      <c r="H43" t="s">
        <v>184</v>
      </c>
    </row>
    <row r="44" spans="1:8" x14ac:dyDescent="0.25">
      <c r="A44" t="s">
        <v>180</v>
      </c>
      <c r="B44" t="s">
        <v>10</v>
      </c>
      <c r="C44" t="s">
        <v>190</v>
      </c>
      <c r="D44" t="s">
        <v>12</v>
      </c>
      <c r="E44" t="s">
        <v>191</v>
      </c>
      <c r="F44">
        <v>3.33</v>
      </c>
      <c r="G44" t="s">
        <v>192</v>
      </c>
      <c r="H44" t="s">
        <v>184</v>
      </c>
    </row>
    <row r="45" spans="1:8" x14ac:dyDescent="0.25">
      <c r="A45" t="s">
        <v>180</v>
      </c>
      <c r="B45" t="s">
        <v>10</v>
      </c>
      <c r="C45" t="s">
        <v>193</v>
      </c>
      <c r="D45" t="s">
        <v>12</v>
      </c>
      <c r="E45" t="s">
        <v>194</v>
      </c>
      <c r="F45">
        <v>3.64</v>
      </c>
      <c r="G45" t="s">
        <v>195</v>
      </c>
      <c r="H45" t="s">
        <v>184</v>
      </c>
    </row>
    <row r="46" spans="1:8" x14ac:dyDescent="0.25">
      <c r="A46" t="s">
        <v>180</v>
      </c>
      <c r="B46" t="s">
        <v>10</v>
      </c>
      <c r="C46" t="s">
        <v>196</v>
      </c>
      <c r="D46" t="s">
        <v>12</v>
      </c>
      <c r="E46" t="s">
        <v>197</v>
      </c>
      <c r="F46">
        <v>1.06</v>
      </c>
      <c r="G46" t="s">
        <v>175</v>
      </c>
      <c r="H46" t="s">
        <v>184</v>
      </c>
    </row>
    <row r="47" spans="1:8" x14ac:dyDescent="0.25">
      <c r="A47" t="s">
        <v>180</v>
      </c>
      <c r="B47" t="s">
        <v>10</v>
      </c>
      <c r="C47" t="s">
        <v>199</v>
      </c>
      <c r="D47" t="s">
        <v>12</v>
      </c>
      <c r="E47" t="s">
        <v>200</v>
      </c>
      <c r="F47">
        <v>1.5</v>
      </c>
      <c r="G47" t="s">
        <v>182</v>
      </c>
      <c r="H47" t="s">
        <v>184</v>
      </c>
    </row>
    <row r="48" spans="1:8" x14ac:dyDescent="0.25">
      <c r="A48" t="s">
        <v>180</v>
      </c>
      <c r="B48" t="s">
        <v>10</v>
      </c>
      <c r="C48" t="s">
        <v>202</v>
      </c>
      <c r="D48" t="s">
        <v>12</v>
      </c>
      <c r="E48" t="s">
        <v>203</v>
      </c>
      <c r="F48">
        <v>1.55</v>
      </c>
      <c r="G48" t="s">
        <v>204</v>
      </c>
      <c r="H48" t="s">
        <v>184</v>
      </c>
    </row>
    <row r="49" spans="1:8" x14ac:dyDescent="0.25">
      <c r="A49" t="s">
        <v>180</v>
      </c>
      <c r="B49" t="s">
        <v>10</v>
      </c>
      <c r="C49" t="s">
        <v>205</v>
      </c>
      <c r="D49" t="s">
        <v>12</v>
      </c>
      <c r="E49" t="s">
        <v>198</v>
      </c>
      <c r="F49">
        <v>1.62</v>
      </c>
      <c r="G49" t="s">
        <v>207</v>
      </c>
      <c r="H49" t="s">
        <v>184</v>
      </c>
    </row>
    <row r="50" spans="1:8" x14ac:dyDescent="0.25">
      <c r="A50" t="s">
        <v>180</v>
      </c>
      <c r="B50" t="s">
        <v>10</v>
      </c>
      <c r="C50" t="s">
        <v>208</v>
      </c>
      <c r="D50" t="s">
        <v>12</v>
      </c>
      <c r="E50" t="s">
        <v>209</v>
      </c>
      <c r="F50">
        <v>1.47</v>
      </c>
      <c r="G50" t="s">
        <v>182</v>
      </c>
      <c r="H50" t="s">
        <v>184</v>
      </c>
    </row>
    <row r="51" spans="1:8" x14ac:dyDescent="0.25">
      <c r="A51" t="s">
        <v>211</v>
      </c>
      <c r="B51" t="s">
        <v>10</v>
      </c>
      <c r="C51" t="s">
        <v>212</v>
      </c>
      <c r="D51" t="s">
        <v>12</v>
      </c>
      <c r="E51" t="s">
        <v>213</v>
      </c>
      <c r="F51">
        <v>7.74</v>
      </c>
      <c r="G51" t="s">
        <v>214</v>
      </c>
      <c r="H51" t="s">
        <v>215</v>
      </c>
    </row>
    <row r="52" spans="1:8" x14ac:dyDescent="0.25">
      <c r="A52" t="s">
        <v>211</v>
      </c>
      <c r="B52" t="s">
        <v>10</v>
      </c>
      <c r="C52" t="s">
        <v>216</v>
      </c>
      <c r="D52" t="s">
        <v>12</v>
      </c>
      <c r="E52" t="s">
        <v>217</v>
      </c>
      <c r="F52">
        <v>7.66</v>
      </c>
      <c r="G52" t="s">
        <v>218</v>
      </c>
      <c r="H52" t="s">
        <v>215</v>
      </c>
    </row>
    <row r="53" spans="1:8" x14ac:dyDescent="0.25">
      <c r="A53" t="s">
        <v>211</v>
      </c>
      <c r="B53" t="s">
        <v>10</v>
      </c>
      <c r="C53" t="s">
        <v>219</v>
      </c>
      <c r="D53" t="s">
        <v>12</v>
      </c>
      <c r="E53" t="s">
        <v>220</v>
      </c>
      <c r="F53">
        <v>8.3000000000000007</v>
      </c>
      <c r="G53" t="s">
        <v>221</v>
      </c>
      <c r="H53" t="s">
        <v>215</v>
      </c>
    </row>
    <row r="54" spans="1:8" x14ac:dyDescent="0.25">
      <c r="A54" t="s">
        <v>211</v>
      </c>
      <c r="B54" t="s">
        <v>10</v>
      </c>
      <c r="C54" t="s">
        <v>222</v>
      </c>
      <c r="D54" t="s">
        <v>12</v>
      </c>
      <c r="E54" t="s">
        <v>223</v>
      </c>
      <c r="F54">
        <v>7.07</v>
      </c>
      <c r="G54" t="s">
        <v>224</v>
      </c>
      <c r="H54" t="s">
        <v>225</v>
      </c>
    </row>
    <row r="55" spans="1:8" x14ac:dyDescent="0.25">
      <c r="A55" t="s">
        <v>211</v>
      </c>
      <c r="B55" t="s">
        <v>10</v>
      </c>
      <c r="C55" t="s">
        <v>226</v>
      </c>
      <c r="D55" t="s">
        <v>12</v>
      </c>
      <c r="E55" t="s">
        <v>227</v>
      </c>
      <c r="F55">
        <v>8</v>
      </c>
      <c r="G55" t="s">
        <v>218</v>
      </c>
      <c r="H55" t="s">
        <v>225</v>
      </c>
    </row>
    <row r="56" spans="1:8" x14ac:dyDescent="0.25">
      <c r="A56" t="s">
        <v>211</v>
      </c>
      <c r="B56" t="s">
        <v>10</v>
      </c>
      <c r="C56" t="s">
        <v>228</v>
      </c>
      <c r="D56" t="s">
        <v>12</v>
      </c>
      <c r="E56" t="s">
        <v>229</v>
      </c>
      <c r="F56">
        <v>6.81</v>
      </c>
      <c r="G56" t="s">
        <v>224</v>
      </c>
      <c r="H56" t="s">
        <v>225</v>
      </c>
    </row>
    <row r="57" spans="1:8" x14ac:dyDescent="0.25">
      <c r="A57" t="s">
        <v>211</v>
      </c>
      <c r="B57" t="s">
        <v>10</v>
      </c>
      <c r="C57" t="s">
        <v>230</v>
      </c>
      <c r="D57" t="s">
        <v>12</v>
      </c>
      <c r="E57" t="s">
        <v>231</v>
      </c>
      <c r="F57">
        <v>17.73</v>
      </c>
      <c r="G57" t="s">
        <v>232</v>
      </c>
      <c r="H57" t="s">
        <v>233</v>
      </c>
    </row>
    <row r="58" spans="1:8" x14ac:dyDescent="0.25">
      <c r="A58" t="s">
        <v>211</v>
      </c>
      <c r="B58" t="s">
        <v>10</v>
      </c>
      <c r="C58" t="s">
        <v>234</v>
      </c>
      <c r="D58" t="s">
        <v>12</v>
      </c>
      <c r="E58" t="s">
        <v>235</v>
      </c>
      <c r="F58">
        <v>11.84</v>
      </c>
      <c r="G58" t="s">
        <v>236</v>
      </c>
      <c r="H58" t="s">
        <v>233</v>
      </c>
    </row>
    <row r="59" spans="1:8" x14ac:dyDescent="0.25">
      <c r="A59" t="s">
        <v>211</v>
      </c>
      <c r="B59" t="s">
        <v>10</v>
      </c>
      <c r="C59" t="s">
        <v>237</v>
      </c>
      <c r="D59" t="s">
        <v>12</v>
      </c>
      <c r="E59" t="s">
        <v>238</v>
      </c>
      <c r="F59">
        <v>6.79</v>
      </c>
      <c r="G59" t="s">
        <v>239</v>
      </c>
      <c r="H59" t="s">
        <v>240</v>
      </c>
    </row>
    <row r="60" spans="1:8" x14ac:dyDescent="0.25">
      <c r="A60" t="s">
        <v>211</v>
      </c>
      <c r="B60" t="s">
        <v>10</v>
      </c>
      <c r="C60" t="s">
        <v>241</v>
      </c>
      <c r="D60" t="s">
        <v>12</v>
      </c>
      <c r="E60" t="s">
        <v>242</v>
      </c>
      <c r="F60">
        <v>20.45</v>
      </c>
      <c r="G60" t="s">
        <v>243</v>
      </c>
      <c r="H60" t="s">
        <v>244</v>
      </c>
    </row>
    <row r="61" spans="1:8" x14ac:dyDescent="0.25">
      <c r="A61" t="s">
        <v>211</v>
      </c>
      <c r="B61" t="s">
        <v>10</v>
      </c>
      <c r="C61" t="s">
        <v>245</v>
      </c>
      <c r="D61" t="s">
        <v>12</v>
      </c>
      <c r="E61" t="s">
        <v>246</v>
      </c>
      <c r="F61">
        <v>13.61</v>
      </c>
      <c r="G61" t="s">
        <v>247</v>
      </c>
      <c r="H61" t="s">
        <v>244</v>
      </c>
    </row>
    <row r="62" spans="1:8" x14ac:dyDescent="0.25">
      <c r="A62" t="s">
        <v>211</v>
      </c>
      <c r="B62" t="s">
        <v>10</v>
      </c>
      <c r="C62" t="s">
        <v>248</v>
      </c>
      <c r="D62" t="s">
        <v>12</v>
      </c>
      <c r="E62" t="s">
        <v>249</v>
      </c>
      <c r="F62">
        <v>4.8600000000000003</v>
      </c>
      <c r="G62" t="s">
        <v>250</v>
      </c>
      <c r="H62" t="s">
        <v>251</v>
      </c>
    </row>
    <row r="63" spans="1:8" x14ac:dyDescent="0.25">
      <c r="A63" t="s">
        <v>211</v>
      </c>
      <c r="B63" t="s">
        <v>10</v>
      </c>
      <c r="C63" t="s">
        <v>252</v>
      </c>
      <c r="D63" t="s">
        <v>12</v>
      </c>
      <c r="E63" t="s">
        <v>253</v>
      </c>
      <c r="F63">
        <v>6.45</v>
      </c>
      <c r="G63" t="s">
        <v>254</v>
      </c>
      <c r="H63" t="s">
        <v>251</v>
      </c>
    </row>
    <row r="64" spans="1:8" x14ac:dyDescent="0.25">
      <c r="A64" t="s">
        <v>211</v>
      </c>
      <c r="B64" t="s">
        <v>10</v>
      </c>
      <c r="C64" t="s">
        <v>255</v>
      </c>
      <c r="D64" t="s">
        <v>12</v>
      </c>
      <c r="E64" t="s">
        <v>256</v>
      </c>
      <c r="F64">
        <v>5.84</v>
      </c>
      <c r="G64" t="s">
        <v>257</v>
      </c>
      <c r="H64" t="s">
        <v>251</v>
      </c>
    </row>
    <row r="65" spans="1:8" x14ac:dyDescent="0.25">
      <c r="A65" t="s">
        <v>211</v>
      </c>
      <c r="B65" t="s">
        <v>10</v>
      </c>
      <c r="C65" t="s">
        <v>258</v>
      </c>
      <c r="D65" t="s">
        <v>12</v>
      </c>
      <c r="E65" t="s">
        <v>259</v>
      </c>
      <c r="F65">
        <v>5.47</v>
      </c>
      <c r="G65" t="s">
        <v>260</v>
      </c>
      <c r="H65" t="s">
        <v>251</v>
      </c>
    </row>
    <row r="66" spans="1:8" x14ac:dyDescent="0.25">
      <c r="A66" t="s">
        <v>211</v>
      </c>
      <c r="B66" t="s">
        <v>10</v>
      </c>
      <c r="C66" t="s">
        <v>261</v>
      </c>
      <c r="D66" t="s">
        <v>12</v>
      </c>
      <c r="E66" t="s">
        <v>262</v>
      </c>
      <c r="F66">
        <v>8.19</v>
      </c>
      <c r="G66" t="s">
        <v>263</v>
      </c>
      <c r="H66" t="s">
        <v>264</v>
      </c>
    </row>
    <row r="67" spans="1:8" x14ac:dyDescent="0.25">
      <c r="A67" t="s">
        <v>211</v>
      </c>
      <c r="B67" t="s">
        <v>10</v>
      </c>
      <c r="C67" t="s">
        <v>265</v>
      </c>
      <c r="D67" t="s">
        <v>12</v>
      </c>
      <c r="E67" t="s">
        <v>266</v>
      </c>
      <c r="F67">
        <v>5.0999999999999996</v>
      </c>
      <c r="G67" t="s">
        <v>267</v>
      </c>
      <c r="H67" t="s">
        <v>268</v>
      </c>
    </row>
    <row r="68" spans="1:8" x14ac:dyDescent="0.25">
      <c r="A68" t="s">
        <v>211</v>
      </c>
      <c r="B68" t="s">
        <v>10</v>
      </c>
      <c r="C68" t="s">
        <v>269</v>
      </c>
      <c r="D68" t="s">
        <v>12</v>
      </c>
      <c r="E68" t="s">
        <v>270</v>
      </c>
      <c r="F68">
        <v>4.8600000000000003</v>
      </c>
      <c r="G68" t="s">
        <v>271</v>
      </c>
      <c r="H68" t="s">
        <v>268</v>
      </c>
    </row>
    <row r="69" spans="1:8" x14ac:dyDescent="0.25">
      <c r="A69" t="s">
        <v>211</v>
      </c>
      <c r="B69" t="s">
        <v>10</v>
      </c>
      <c r="C69" t="s">
        <v>272</v>
      </c>
      <c r="D69" t="s">
        <v>12</v>
      </c>
      <c r="E69" t="s">
        <v>273</v>
      </c>
      <c r="F69">
        <v>13.4</v>
      </c>
      <c r="G69" t="s">
        <v>274</v>
      </c>
      <c r="H69" t="s">
        <v>268</v>
      </c>
    </row>
    <row r="70" spans="1:8" x14ac:dyDescent="0.25">
      <c r="A70" t="s">
        <v>211</v>
      </c>
      <c r="B70" t="s">
        <v>10</v>
      </c>
      <c r="C70" t="s">
        <v>275</v>
      </c>
      <c r="D70" t="s">
        <v>12</v>
      </c>
      <c r="E70" t="s">
        <v>276</v>
      </c>
      <c r="F70">
        <v>6.55</v>
      </c>
      <c r="G70" t="s">
        <v>277</v>
      </c>
      <c r="H70" t="s">
        <v>268</v>
      </c>
    </row>
    <row r="71" spans="1:8" x14ac:dyDescent="0.25">
      <c r="A71" t="s">
        <v>211</v>
      </c>
      <c r="B71" t="s">
        <v>10</v>
      </c>
      <c r="C71" t="s">
        <v>278</v>
      </c>
      <c r="D71" t="s">
        <v>12</v>
      </c>
      <c r="E71" t="s">
        <v>175</v>
      </c>
      <c r="F71">
        <v>2.21</v>
      </c>
      <c r="G71" t="s">
        <v>27</v>
      </c>
      <c r="H71" t="s">
        <v>280</v>
      </c>
    </row>
    <row r="72" spans="1:8" x14ac:dyDescent="0.25">
      <c r="A72" t="s">
        <v>211</v>
      </c>
      <c r="B72" t="s">
        <v>10</v>
      </c>
      <c r="C72" t="s">
        <v>281</v>
      </c>
      <c r="D72" t="s">
        <v>12</v>
      </c>
      <c r="E72" t="s">
        <v>55</v>
      </c>
      <c r="F72">
        <v>0.85</v>
      </c>
      <c r="G72" t="s">
        <v>283</v>
      </c>
      <c r="H72" t="s">
        <v>280</v>
      </c>
    </row>
    <row r="73" spans="1:8" x14ac:dyDescent="0.25">
      <c r="A73" t="s">
        <v>211</v>
      </c>
      <c r="B73" t="s">
        <v>10</v>
      </c>
      <c r="C73" t="s">
        <v>284</v>
      </c>
      <c r="D73" t="s">
        <v>12</v>
      </c>
      <c r="E73" t="s">
        <v>285</v>
      </c>
      <c r="F73">
        <v>2.39</v>
      </c>
      <c r="G73" t="s">
        <v>286</v>
      </c>
      <c r="H73" t="s">
        <v>287</v>
      </c>
    </row>
    <row r="74" spans="1:8" x14ac:dyDescent="0.25">
      <c r="A74" t="s">
        <v>211</v>
      </c>
      <c r="B74" t="s">
        <v>10</v>
      </c>
      <c r="C74" t="s">
        <v>288</v>
      </c>
      <c r="D74" t="s">
        <v>12</v>
      </c>
      <c r="E74" t="s">
        <v>289</v>
      </c>
      <c r="F74">
        <v>4.18</v>
      </c>
      <c r="G74" t="s">
        <v>290</v>
      </c>
      <c r="H74" t="s">
        <v>287</v>
      </c>
    </row>
    <row r="75" spans="1:8" x14ac:dyDescent="0.25">
      <c r="A75" t="s">
        <v>211</v>
      </c>
      <c r="B75" t="s">
        <v>10</v>
      </c>
      <c r="C75" t="s">
        <v>291</v>
      </c>
      <c r="D75" t="s">
        <v>12</v>
      </c>
      <c r="E75" t="s">
        <v>292</v>
      </c>
      <c r="F75">
        <v>5.24</v>
      </c>
      <c r="G75" t="s">
        <v>293</v>
      </c>
      <c r="H75" t="s">
        <v>287</v>
      </c>
    </row>
    <row r="76" spans="1:8" x14ac:dyDescent="0.25">
      <c r="A76" t="s">
        <v>211</v>
      </c>
      <c r="B76" t="s">
        <v>10</v>
      </c>
      <c r="C76" t="s">
        <v>294</v>
      </c>
      <c r="D76" t="s">
        <v>12</v>
      </c>
      <c r="E76" t="s">
        <v>295</v>
      </c>
      <c r="F76">
        <v>13.67</v>
      </c>
      <c r="G76" t="s">
        <v>296</v>
      </c>
      <c r="H76" t="s">
        <v>287</v>
      </c>
    </row>
    <row r="77" spans="1:8" x14ac:dyDescent="0.25">
      <c r="A77" t="s">
        <v>211</v>
      </c>
      <c r="B77" t="s">
        <v>10</v>
      </c>
      <c r="C77" t="s">
        <v>297</v>
      </c>
      <c r="D77" t="s">
        <v>12</v>
      </c>
      <c r="E77" t="s">
        <v>298</v>
      </c>
      <c r="F77">
        <v>12.78</v>
      </c>
      <c r="G77" t="s">
        <v>299</v>
      </c>
      <c r="H77" t="s">
        <v>287</v>
      </c>
    </row>
    <row r="78" spans="1:8" x14ac:dyDescent="0.25">
      <c r="A78" t="s">
        <v>211</v>
      </c>
      <c r="B78" t="s">
        <v>10</v>
      </c>
      <c r="C78" t="s">
        <v>300</v>
      </c>
      <c r="D78" t="s">
        <v>12</v>
      </c>
      <c r="E78" t="s">
        <v>301</v>
      </c>
      <c r="F78">
        <v>11.73</v>
      </c>
      <c r="G78" t="s">
        <v>302</v>
      </c>
      <c r="H78" t="s">
        <v>287</v>
      </c>
    </row>
    <row r="79" spans="1:8" x14ac:dyDescent="0.25">
      <c r="A79" t="s">
        <v>211</v>
      </c>
      <c r="B79" t="s">
        <v>10</v>
      </c>
      <c r="C79" t="s">
        <v>303</v>
      </c>
      <c r="D79" t="s">
        <v>12</v>
      </c>
      <c r="E79" t="s">
        <v>304</v>
      </c>
      <c r="F79">
        <v>1.91</v>
      </c>
      <c r="G79" t="s">
        <v>52</v>
      </c>
      <c r="H79" t="s">
        <v>287</v>
      </c>
    </row>
    <row r="80" spans="1:8" x14ac:dyDescent="0.25">
      <c r="A80" t="s">
        <v>211</v>
      </c>
      <c r="B80" t="s">
        <v>10</v>
      </c>
      <c r="C80" t="s">
        <v>305</v>
      </c>
      <c r="D80" t="s">
        <v>12</v>
      </c>
      <c r="E80" t="s">
        <v>306</v>
      </c>
      <c r="F80">
        <v>2.06</v>
      </c>
      <c r="G80" t="s">
        <v>307</v>
      </c>
      <c r="H80" t="s">
        <v>287</v>
      </c>
    </row>
    <row r="81" spans="1:8" x14ac:dyDescent="0.25">
      <c r="A81" t="s">
        <v>211</v>
      </c>
      <c r="B81" t="s">
        <v>10</v>
      </c>
      <c r="C81" t="s">
        <v>308</v>
      </c>
      <c r="D81" t="s">
        <v>12</v>
      </c>
      <c r="E81" t="s">
        <v>309</v>
      </c>
      <c r="F81">
        <v>3.41</v>
      </c>
      <c r="G81" t="s">
        <v>310</v>
      </c>
      <c r="H81" t="s">
        <v>287</v>
      </c>
    </row>
    <row r="82" spans="1:8" x14ac:dyDescent="0.25">
      <c r="A82" t="s">
        <v>311</v>
      </c>
      <c r="B82" t="s">
        <v>10</v>
      </c>
      <c r="C82" t="s">
        <v>312</v>
      </c>
      <c r="D82" t="s">
        <v>106</v>
      </c>
      <c r="E82" t="s">
        <v>313</v>
      </c>
      <c r="F82" t="s">
        <v>314</v>
      </c>
      <c r="G82" t="s">
        <v>315</v>
      </c>
      <c r="H82" t="s">
        <v>316</v>
      </c>
    </row>
    <row r="83" spans="1:8" x14ac:dyDescent="0.25">
      <c r="A83" t="s">
        <v>311</v>
      </c>
      <c r="B83" t="s">
        <v>10</v>
      </c>
      <c r="C83" t="s">
        <v>317</v>
      </c>
      <c r="D83" t="s">
        <v>106</v>
      </c>
      <c r="E83" t="s">
        <v>318</v>
      </c>
      <c r="F83" t="s">
        <v>319</v>
      </c>
      <c r="G83" t="s">
        <v>320</v>
      </c>
      <c r="H83" t="s">
        <v>316</v>
      </c>
    </row>
    <row r="84" spans="1:8" x14ac:dyDescent="0.25">
      <c r="A84" t="s">
        <v>311</v>
      </c>
      <c r="B84" t="s">
        <v>10</v>
      </c>
      <c r="C84" t="s">
        <v>321</v>
      </c>
      <c r="D84" t="s">
        <v>106</v>
      </c>
      <c r="E84" t="s">
        <v>322</v>
      </c>
      <c r="F84" t="s">
        <v>323</v>
      </c>
      <c r="G84" t="s">
        <v>324</v>
      </c>
      <c r="H84" t="s">
        <v>316</v>
      </c>
    </row>
    <row r="85" spans="1:8" x14ac:dyDescent="0.25">
      <c r="A85" t="s">
        <v>311</v>
      </c>
      <c r="B85" t="s">
        <v>10</v>
      </c>
      <c r="C85" t="s">
        <v>325</v>
      </c>
      <c r="D85" t="s">
        <v>106</v>
      </c>
      <c r="E85" t="s">
        <v>326</v>
      </c>
      <c r="F85" t="s">
        <v>327</v>
      </c>
      <c r="G85" t="s">
        <v>328</v>
      </c>
      <c r="H85" t="s">
        <v>316</v>
      </c>
    </row>
    <row r="86" spans="1:8" x14ac:dyDescent="0.25">
      <c r="A86" t="s">
        <v>311</v>
      </c>
      <c r="B86" t="s">
        <v>10</v>
      </c>
      <c r="C86" t="s">
        <v>329</v>
      </c>
      <c r="D86" t="s">
        <v>106</v>
      </c>
      <c r="E86" t="s">
        <v>330</v>
      </c>
      <c r="F86" t="s">
        <v>331</v>
      </c>
      <c r="G86" t="s">
        <v>332</v>
      </c>
      <c r="H86" t="s">
        <v>316</v>
      </c>
    </row>
    <row r="87" spans="1:8" x14ac:dyDescent="0.25">
      <c r="A87" t="s">
        <v>311</v>
      </c>
      <c r="B87" t="s">
        <v>10</v>
      </c>
      <c r="C87" t="s">
        <v>333</v>
      </c>
      <c r="D87" t="s">
        <v>106</v>
      </c>
      <c r="E87" t="s">
        <v>334</v>
      </c>
      <c r="F87" t="s">
        <v>335</v>
      </c>
      <c r="G87" t="s">
        <v>336</v>
      </c>
      <c r="H87" t="s">
        <v>316</v>
      </c>
    </row>
    <row r="88" spans="1:8" x14ac:dyDescent="0.25">
      <c r="A88" t="s">
        <v>337</v>
      </c>
      <c r="B88" t="s">
        <v>10</v>
      </c>
      <c r="C88" t="s">
        <v>312</v>
      </c>
      <c r="D88" t="s">
        <v>106</v>
      </c>
      <c r="E88" t="s">
        <v>313</v>
      </c>
      <c r="F88" t="s">
        <v>314</v>
      </c>
      <c r="G88" t="s">
        <v>315</v>
      </c>
      <c r="H88" t="s">
        <v>316</v>
      </c>
    </row>
    <row r="89" spans="1:8" x14ac:dyDescent="0.25">
      <c r="A89" t="s">
        <v>337</v>
      </c>
      <c r="B89" t="s">
        <v>10</v>
      </c>
      <c r="C89" t="s">
        <v>317</v>
      </c>
      <c r="D89" t="s">
        <v>106</v>
      </c>
      <c r="E89" t="s">
        <v>318</v>
      </c>
      <c r="F89" t="s">
        <v>319</v>
      </c>
      <c r="G89" t="s">
        <v>320</v>
      </c>
      <c r="H89" t="s">
        <v>316</v>
      </c>
    </row>
    <row r="90" spans="1:8" x14ac:dyDescent="0.25">
      <c r="A90" t="s">
        <v>337</v>
      </c>
      <c r="B90" t="s">
        <v>10</v>
      </c>
      <c r="C90" t="s">
        <v>321</v>
      </c>
      <c r="D90" t="s">
        <v>106</v>
      </c>
      <c r="E90" t="s">
        <v>322</v>
      </c>
      <c r="F90" t="s">
        <v>323</v>
      </c>
      <c r="G90" t="s">
        <v>324</v>
      </c>
      <c r="H90" t="s">
        <v>316</v>
      </c>
    </row>
    <row r="91" spans="1:8" x14ac:dyDescent="0.25">
      <c r="A91" t="s">
        <v>337</v>
      </c>
      <c r="B91" t="s">
        <v>10</v>
      </c>
      <c r="C91" t="s">
        <v>325</v>
      </c>
      <c r="D91" t="s">
        <v>106</v>
      </c>
      <c r="E91" t="s">
        <v>326</v>
      </c>
      <c r="F91" t="s">
        <v>327</v>
      </c>
      <c r="G91" t="s">
        <v>328</v>
      </c>
      <c r="H91" t="s">
        <v>316</v>
      </c>
    </row>
    <row r="92" spans="1:8" x14ac:dyDescent="0.25">
      <c r="A92" t="s">
        <v>337</v>
      </c>
      <c r="B92" t="s">
        <v>10</v>
      </c>
      <c r="C92" t="s">
        <v>329</v>
      </c>
      <c r="D92" t="s">
        <v>106</v>
      </c>
      <c r="E92" t="s">
        <v>330</v>
      </c>
      <c r="F92" t="s">
        <v>331</v>
      </c>
      <c r="G92" t="s">
        <v>332</v>
      </c>
      <c r="H92" t="s">
        <v>316</v>
      </c>
    </row>
    <row r="93" spans="1:8" x14ac:dyDescent="0.25">
      <c r="A93" t="s">
        <v>337</v>
      </c>
      <c r="B93" t="s">
        <v>10</v>
      </c>
      <c r="C93" t="s">
        <v>333</v>
      </c>
      <c r="D93" t="s">
        <v>106</v>
      </c>
      <c r="E93" t="s">
        <v>334</v>
      </c>
      <c r="F93" t="s">
        <v>335</v>
      </c>
      <c r="G93" t="s">
        <v>336</v>
      </c>
      <c r="H93" t="s">
        <v>316</v>
      </c>
    </row>
    <row r="94" spans="1:8" x14ac:dyDescent="0.25">
      <c r="A94" t="s">
        <v>338</v>
      </c>
      <c r="B94" t="s">
        <v>10</v>
      </c>
      <c r="C94" t="s">
        <v>339</v>
      </c>
      <c r="D94" t="s">
        <v>106</v>
      </c>
      <c r="E94" t="s">
        <v>340</v>
      </c>
      <c r="F94" t="s">
        <v>341</v>
      </c>
      <c r="G94" t="s">
        <v>342</v>
      </c>
      <c r="H94" t="s">
        <v>343</v>
      </c>
    </row>
    <row r="95" spans="1:8" x14ac:dyDescent="0.25">
      <c r="A95" t="s">
        <v>338</v>
      </c>
      <c r="B95" t="s">
        <v>10</v>
      </c>
      <c r="C95" t="s">
        <v>344</v>
      </c>
      <c r="D95" t="s">
        <v>106</v>
      </c>
      <c r="E95" t="s">
        <v>345</v>
      </c>
      <c r="F95" t="s">
        <v>346</v>
      </c>
      <c r="G95" t="s">
        <v>347</v>
      </c>
      <c r="H95" t="s">
        <v>343</v>
      </c>
    </row>
    <row r="96" spans="1:8" x14ac:dyDescent="0.25">
      <c r="A96" t="s">
        <v>338</v>
      </c>
      <c r="B96" t="s">
        <v>10</v>
      </c>
      <c r="C96" t="s">
        <v>348</v>
      </c>
      <c r="D96" t="s">
        <v>106</v>
      </c>
      <c r="E96" t="s">
        <v>349</v>
      </c>
      <c r="F96" t="s">
        <v>350</v>
      </c>
      <c r="G96" t="s">
        <v>351</v>
      </c>
      <c r="H96" t="s">
        <v>343</v>
      </c>
    </row>
    <row r="97" spans="1:8" x14ac:dyDescent="0.25">
      <c r="A97" t="s">
        <v>338</v>
      </c>
      <c r="B97" t="s">
        <v>10</v>
      </c>
      <c r="C97" t="s">
        <v>352</v>
      </c>
      <c r="D97" t="s">
        <v>106</v>
      </c>
      <c r="E97" t="s">
        <v>353</v>
      </c>
      <c r="F97" t="s">
        <v>354</v>
      </c>
      <c r="G97" t="s">
        <v>355</v>
      </c>
      <c r="H97" t="s">
        <v>343</v>
      </c>
    </row>
    <row r="98" spans="1:8" x14ac:dyDescent="0.25">
      <c r="A98" t="s">
        <v>338</v>
      </c>
      <c r="B98" t="s">
        <v>10</v>
      </c>
      <c r="C98" t="s">
        <v>356</v>
      </c>
      <c r="D98" t="s">
        <v>106</v>
      </c>
      <c r="E98" t="s">
        <v>357</v>
      </c>
      <c r="F98" t="s">
        <v>358</v>
      </c>
      <c r="G98" t="s">
        <v>359</v>
      </c>
      <c r="H98" t="s">
        <v>343</v>
      </c>
    </row>
    <row r="99" spans="1:8" x14ac:dyDescent="0.25">
      <c r="A99" t="s">
        <v>338</v>
      </c>
      <c r="B99" t="s">
        <v>10</v>
      </c>
      <c r="C99" t="s">
        <v>360</v>
      </c>
      <c r="D99" t="s">
        <v>106</v>
      </c>
      <c r="E99" t="s">
        <v>361</v>
      </c>
      <c r="F99" t="s">
        <v>362</v>
      </c>
      <c r="G99" t="s">
        <v>363</v>
      </c>
      <c r="H99" t="s">
        <v>343</v>
      </c>
    </row>
    <row r="100" spans="1:8" x14ac:dyDescent="0.25">
      <c r="A100" t="s">
        <v>364</v>
      </c>
      <c r="B100" t="s">
        <v>10</v>
      </c>
      <c r="C100" t="s">
        <v>365</v>
      </c>
      <c r="D100" t="s">
        <v>106</v>
      </c>
      <c r="E100" t="s">
        <v>366</v>
      </c>
      <c r="F100" t="s">
        <v>367</v>
      </c>
      <c r="G100" t="s">
        <v>368</v>
      </c>
      <c r="H100" t="s">
        <v>369</v>
      </c>
    </row>
    <row r="101" spans="1:8" x14ac:dyDescent="0.25">
      <c r="A101" t="s">
        <v>364</v>
      </c>
      <c r="B101" t="s">
        <v>10</v>
      </c>
      <c r="C101" t="s">
        <v>370</v>
      </c>
      <c r="D101" t="s">
        <v>106</v>
      </c>
      <c r="E101" t="s">
        <v>371</v>
      </c>
      <c r="F101" t="s">
        <v>372</v>
      </c>
      <c r="G101" t="s">
        <v>373</v>
      </c>
      <c r="H101" t="s">
        <v>369</v>
      </c>
    </row>
    <row r="102" spans="1:8" x14ac:dyDescent="0.25">
      <c r="A102" t="s">
        <v>364</v>
      </c>
      <c r="B102" t="s">
        <v>10</v>
      </c>
      <c r="C102" t="s">
        <v>374</v>
      </c>
      <c r="D102" t="s">
        <v>106</v>
      </c>
      <c r="E102" t="s">
        <v>375</v>
      </c>
      <c r="F102" t="s">
        <v>376</v>
      </c>
      <c r="G102" t="s">
        <v>377</v>
      </c>
      <c r="H102" t="s">
        <v>369</v>
      </c>
    </row>
    <row r="103" spans="1:8" x14ac:dyDescent="0.25">
      <c r="A103" t="s">
        <v>364</v>
      </c>
      <c r="B103" t="s">
        <v>10</v>
      </c>
      <c r="C103" t="s">
        <v>378</v>
      </c>
      <c r="D103" t="s">
        <v>106</v>
      </c>
      <c r="E103" t="s">
        <v>148</v>
      </c>
      <c r="F103" t="s">
        <v>379</v>
      </c>
      <c r="G103" t="s">
        <v>380</v>
      </c>
      <c r="H103" t="s">
        <v>369</v>
      </c>
    </row>
    <row r="104" spans="1:8" x14ac:dyDescent="0.25">
      <c r="A104" t="s">
        <v>381</v>
      </c>
      <c r="B104" t="s">
        <v>10</v>
      </c>
      <c r="C104" t="s">
        <v>382</v>
      </c>
      <c r="D104" t="s">
        <v>106</v>
      </c>
      <c r="E104" t="s">
        <v>383</v>
      </c>
      <c r="F104" t="s">
        <v>384</v>
      </c>
      <c r="G104" t="s">
        <v>385</v>
      </c>
      <c r="H104" t="s">
        <v>386</v>
      </c>
    </row>
    <row r="105" spans="1:8" x14ac:dyDescent="0.25">
      <c r="A105" t="s">
        <v>381</v>
      </c>
      <c r="B105" t="s">
        <v>10</v>
      </c>
      <c r="C105" t="s">
        <v>387</v>
      </c>
      <c r="D105" t="s">
        <v>106</v>
      </c>
      <c r="E105" t="s">
        <v>388</v>
      </c>
      <c r="F105" t="s">
        <v>389</v>
      </c>
      <c r="G105" t="s">
        <v>390</v>
      </c>
      <c r="H105" t="s">
        <v>386</v>
      </c>
    </row>
    <row r="106" spans="1:8" x14ac:dyDescent="0.25">
      <c r="A106" t="s">
        <v>381</v>
      </c>
      <c r="B106" t="s">
        <v>10</v>
      </c>
      <c r="C106" t="s">
        <v>391</v>
      </c>
      <c r="D106" t="s">
        <v>106</v>
      </c>
      <c r="E106" t="s">
        <v>392</v>
      </c>
      <c r="F106" t="s">
        <v>393</v>
      </c>
      <c r="G106" t="s">
        <v>394</v>
      </c>
      <c r="H106" t="s">
        <v>386</v>
      </c>
    </row>
    <row r="107" spans="1:8" x14ac:dyDescent="0.25">
      <c r="A107" t="s">
        <v>381</v>
      </c>
      <c r="B107" t="s">
        <v>10</v>
      </c>
      <c r="C107" t="s">
        <v>395</v>
      </c>
      <c r="D107" t="s">
        <v>106</v>
      </c>
      <c r="E107" t="s">
        <v>396</v>
      </c>
      <c r="F107" t="s">
        <v>397</v>
      </c>
      <c r="G107" t="s">
        <v>398</v>
      </c>
      <c r="H107" t="s">
        <v>386</v>
      </c>
    </row>
    <row r="108" spans="1:8" x14ac:dyDescent="0.25">
      <c r="A108" t="s">
        <v>399</v>
      </c>
      <c r="B108" t="s">
        <v>10</v>
      </c>
      <c r="C108" t="s">
        <v>400</v>
      </c>
      <c r="D108" t="s">
        <v>106</v>
      </c>
      <c r="E108" t="s">
        <v>401</v>
      </c>
      <c r="F108" t="s">
        <v>402</v>
      </c>
      <c r="G108" t="s">
        <v>403</v>
      </c>
      <c r="H108" t="s">
        <v>404</v>
      </c>
    </row>
    <row r="109" spans="1:8" x14ac:dyDescent="0.25">
      <c r="A109" t="s">
        <v>399</v>
      </c>
      <c r="B109" t="s">
        <v>10</v>
      </c>
      <c r="C109" t="s">
        <v>405</v>
      </c>
      <c r="D109" t="s">
        <v>106</v>
      </c>
      <c r="E109" t="s">
        <v>150</v>
      </c>
      <c r="F109" t="s">
        <v>406</v>
      </c>
      <c r="G109" t="s">
        <v>407</v>
      </c>
      <c r="H109" t="s">
        <v>404</v>
      </c>
    </row>
    <row r="110" spans="1:8" x14ac:dyDescent="0.25">
      <c r="A110" t="s">
        <v>399</v>
      </c>
      <c r="B110" t="s">
        <v>10</v>
      </c>
      <c r="C110" t="s">
        <v>408</v>
      </c>
      <c r="D110" t="s">
        <v>106</v>
      </c>
      <c r="E110" t="s">
        <v>409</v>
      </c>
      <c r="F110" t="s">
        <v>410</v>
      </c>
      <c r="G110" t="s">
        <v>411</v>
      </c>
      <c r="H110" t="s">
        <v>404</v>
      </c>
    </row>
    <row r="111" spans="1:8" x14ac:dyDescent="0.25">
      <c r="A111" t="s">
        <v>399</v>
      </c>
      <c r="B111" t="s">
        <v>10</v>
      </c>
      <c r="C111" t="s">
        <v>412</v>
      </c>
      <c r="D111" t="s">
        <v>106</v>
      </c>
      <c r="E111" t="s">
        <v>413</v>
      </c>
      <c r="F111" t="s">
        <v>414</v>
      </c>
      <c r="G111" t="s">
        <v>415</v>
      </c>
      <c r="H111" t="s">
        <v>404</v>
      </c>
    </row>
    <row r="112" spans="1:8" x14ac:dyDescent="0.25">
      <c r="A112" t="s">
        <v>399</v>
      </c>
      <c r="B112" t="s">
        <v>10</v>
      </c>
      <c r="C112" t="s">
        <v>416</v>
      </c>
      <c r="D112" t="s">
        <v>106</v>
      </c>
      <c r="E112" t="s">
        <v>417</v>
      </c>
      <c r="F112" t="s">
        <v>418</v>
      </c>
      <c r="G112" t="s">
        <v>419</v>
      </c>
      <c r="H112" t="s">
        <v>404</v>
      </c>
    </row>
    <row r="113" spans="1:8" x14ac:dyDescent="0.25">
      <c r="A113" t="s">
        <v>399</v>
      </c>
      <c r="B113" t="s">
        <v>10</v>
      </c>
      <c r="C113" t="s">
        <v>420</v>
      </c>
      <c r="D113" t="s">
        <v>106</v>
      </c>
      <c r="E113" t="s">
        <v>421</v>
      </c>
      <c r="F113" t="s">
        <v>422</v>
      </c>
      <c r="G113" t="s">
        <v>423</v>
      </c>
      <c r="H113" t="s">
        <v>404</v>
      </c>
    </row>
    <row r="114" spans="1:8" x14ac:dyDescent="0.25">
      <c r="A114" t="s">
        <v>399</v>
      </c>
      <c r="B114" t="s">
        <v>10</v>
      </c>
      <c r="C114" t="s">
        <v>424</v>
      </c>
      <c r="D114" t="s">
        <v>106</v>
      </c>
      <c r="E114" t="s">
        <v>425</v>
      </c>
      <c r="F114" t="s">
        <v>426</v>
      </c>
      <c r="G114" t="s">
        <v>427</v>
      </c>
      <c r="H114" t="s">
        <v>404</v>
      </c>
    </row>
    <row r="115" spans="1:8" x14ac:dyDescent="0.25">
      <c r="A115" t="s">
        <v>399</v>
      </c>
      <c r="B115" t="s">
        <v>10</v>
      </c>
      <c r="C115" t="s">
        <v>428</v>
      </c>
      <c r="D115" t="s">
        <v>106</v>
      </c>
      <c r="E115" t="s">
        <v>429</v>
      </c>
      <c r="F115" t="s">
        <v>430</v>
      </c>
      <c r="G115" t="s">
        <v>431</v>
      </c>
      <c r="H115" t="s">
        <v>404</v>
      </c>
    </row>
    <row r="116" spans="1:8" x14ac:dyDescent="0.25">
      <c r="A116" t="s">
        <v>432</v>
      </c>
      <c r="B116" t="s">
        <v>10</v>
      </c>
      <c r="C116" t="s">
        <v>433</v>
      </c>
      <c r="D116" t="s">
        <v>12</v>
      </c>
      <c r="E116">
        <v>0.36</v>
      </c>
      <c r="F116">
        <v>0.48</v>
      </c>
      <c r="G116">
        <v>1.1100000000000001</v>
      </c>
      <c r="H116" t="s">
        <v>1184</v>
      </c>
    </row>
    <row r="117" spans="1:8" x14ac:dyDescent="0.25">
      <c r="A117" t="s">
        <v>437</v>
      </c>
      <c r="B117" t="s">
        <v>10</v>
      </c>
      <c r="C117" t="s">
        <v>438</v>
      </c>
      <c r="D117" t="s">
        <v>12</v>
      </c>
      <c r="E117" t="s">
        <v>439</v>
      </c>
      <c r="F117" t="s">
        <v>440</v>
      </c>
      <c r="G117" t="s">
        <v>206</v>
      </c>
      <c r="H117" t="s">
        <v>1185</v>
      </c>
    </row>
    <row r="118" spans="1:8" x14ac:dyDescent="0.25">
      <c r="A118" t="s">
        <v>441</v>
      </c>
      <c r="B118" t="s">
        <v>10</v>
      </c>
      <c r="C118" t="s">
        <v>442</v>
      </c>
      <c r="D118" t="s">
        <v>106</v>
      </c>
      <c r="E118" t="s">
        <v>403</v>
      </c>
      <c r="F118" t="s">
        <v>443</v>
      </c>
      <c r="G118" t="s">
        <v>444</v>
      </c>
      <c r="H118" t="s">
        <v>445</v>
      </c>
    </row>
    <row r="119" spans="1:8" x14ac:dyDescent="0.25">
      <c r="A119" t="s">
        <v>441</v>
      </c>
      <c r="B119" t="s">
        <v>10</v>
      </c>
      <c r="C119" t="s">
        <v>446</v>
      </c>
      <c r="D119" t="s">
        <v>106</v>
      </c>
      <c r="E119" t="s">
        <v>447</v>
      </c>
      <c r="F119" t="s">
        <v>448</v>
      </c>
      <c r="G119" t="s">
        <v>449</v>
      </c>
      <c r="H119" t="s">
        <v>450</v>
      </c>
    </row>
    <row r="120" spans="1:8" x14ac:dyDescent="0.25">
      <c r="A120" t="s">
        <v>441</v>
      </c>
      <c r="B120" t="s">
        <v>10</v>
      </c>
      <c r="C120" t="s">
        <v>451</v>
      </c>
      <c r="D120" t="s">
        <v>106</v>
      </c>
      <c r="E120" t="s">
        <v>452</v>
      </c>
      <c r="F120" t="s">
        <v>453</v>
      </c>
      <c r="G120" t="s">
        <v>454</v>
      </c>
      <c r="H120" t="s">
        <v>450</v>
      </c>
    </row>
    <row r="121" spans="1:8" x14ac:dyDescent="0.25">
      <c r="A121" t="s">
        <v>441</v>
      </c>
      <c r="B121" t="s">
        <v>10</v>
      </c>
      <c r="C121" t="s">
        <v>455</v>
      </c>
      <c r="D121" t="s">
        <v>106</v>
      </c>
      <c r="E121" t="s">
        <v>456</v>
      </c>
      <c r="F121" t="s">
        <v>457</v>
      </c>
      <c r="G121" t="s">
        <v>134</v>
      </c>
      <c r="H121" t="s">
        <v>450</v>
      </c>
    </row>
    <row r="122" spans="1:8" x14ac:dyDescent="0.25">
      <c r="A122" t="s">
        <v>441</v>
      </c>
      <c r="B122" t="s">
        <v>10</v>
      </c>
      <c r="C122" t="s">
        <v>458</v>
      </c>
      <c r="D122" t="s">
        <v>106</v>
      </c>
      <c r="E122" t="s">
        <v>459</v>
      </c>
      <c r="F122" t="s">
        <v>460</v>
      </c>
      <c r="G122" t="s">
        <v>461</v>
      </c>
      <c r="H122" t="s">
        <v>462</v>
      </c>
    </row>
    <row r="123" spans="1:8" x14ac:dyDescent="0.25">
      <c r="A123" t="s">
        <v>441</v>
      </c>
      <c r="B123" t="s">
        <v>10</v>
      </c>
      <c r="C123" t="s">
        <v>458</v>
      </c>
      <c r="D123" t="s">
        <v>106</v>
      </c>
      <c r="E123" t="s">
        <v>463</v>
      </c>
      <c r="F123" t="s">
        <v>377</v>
      </c>
      <c r="G123" t="s">
        <v>464</v>
      </c>
      <c r="H123" t="s">
        <v>462</v>
      </c>
    </row>
    <row r="124" spans="1:8" x14ac:dyDescent="0.25">
      <c r="A124" t="s">
        <v>441</v>
      </c>
      <c r="B124" t="s">
        <v>10</v>
      </c>
      <c r="C124" t="s">
        <v>465</v>
      </c>
      <c r="D124" t="s">
        <v>106</v>
      </c>
      <c r="E124" t="s">
        <v>371</v>
      </c>
      <c r="F124" t="s">
        <v>466</v>
      </c>
      <c r="G124" t="s">
        <v>373</v>
      </c>
      <c r="H124" t="s">
        <v>467</v>
      </c>
    </row>
    <row r="125" spans="1:8" x14ac:dyDescent="0.25">
      <c r="A125" t="s">
        <v>441</v>
      </c>
      <c r="B125" t="s">
        <v>10</v>
      </c>
      <c r="C125" t="s">
        <v>468</v>
      </c>
      <c r="D125" t="s">
        <v>106</v>
      </c>
      <c r="E125" t="s">
        <v>469</v>
      </c>
      <c r="F125" t="s">
        <v>470</v>
      </c>
      <c r="G125" t="s">
        <v>471</v>
      </c>
      <c r="H125" t="s">
        <v>467</v>
      </c>
    </row>
    <row r="126" spans="1:8" x14ac:dyDescent="0.25">
      <c r="A126" t="s">
        <v>472</v>
      </c>
      <c r="B126" t="s">
        <v>10</v>
      </c>
      <c r="C126" t="s">
        <v>473</v>
      </c>
      <c r="D126" t="s">
        <v>106</v>
      </c>
      <c r="E126" t="s">
        <v>474</v>
      </c>
      <c r="F126" t="s">
        <v>475</v>
      </c>
      <c r="G126" t="s">
        <v>476</v>
      </c>
      <c r="H126" t="s">
        <v>450</v>
      </c>
    </row>
    <row r="127" spans="1:8" x14ac:dyDescent="0.25">
      <c r="A127" t="s">
        <v>472</v>
      </c>
      <c r="B127" t="s">
        <v>10</v>
      </c>
      <c r="C127" t="s">
        <v>477</v>
      </c>
      <c r="D127" t="s">
        <v>106</v>
      </c>
      <c r="E127" t="s">
        <v>478</v>
      </c>
      <c r="F127" t="s">
        <v>479</v>
      </c>
      <c r="G127" t="s">
        <v>480</v>
      </c>
      <c r="H127" t="s">
        <v>450</v>
      </c>
    </row>
    <row r="128" spans="1:8" x14ac:dyDescent="0.25">
      <c r="A128" t="s">
        <v>472</v>
      </c>
      <c r="B128" t="s">
        <v>10</v>
      </c>
      <c r="C128" t="s">
        <v>481</v>
      </c>
      <c r="D128" t="s">
        <v>106</v>
      </c>
      <c r="E128" t="s">
        <v>482</v>
      </c>
      <c r="F128" t="s">
        <v>483</v>
      </c>
      <c r="G128" t="s">
        <v>484</v>
      </c>
      <c r="H128" t="s">
        <v>450</v>
      </c>
    </row>
    <row r="129" spans="1:8" x14ac:dyDescent="0.25">
      <c r="A129" t="s">
        <v>485</v>
      </c>
      <c r="B129" t="s">
        <v>10</v>
      </c>
      <c r="C129" t="s">
        <v>486</v>
      </c>
      <c r="D129" t="s">
        <v>12</v>
      </c>
      <c r="E129" t="s">
        <v>487</v>
      </c>
      <c r="F129" t="s">
        <v>488</v>
      </c>
      <c r="G129" t="s">
        <v>489</v>
      </c>
      <c r="H129" t="s">
        <v>490</v>
      </c>
    </row>
    <row r="130" spans="1:8" x14ac:dyDescent="0.25">
      <c r="A130" t="s">
        <v>485</v>
      </c>
      <c r="B130" t="s">
        <v>10</v>
      </c>
      <c r="C130" t="s">
        <v>491</v>
      </c>
      <c r="D130" t="s">
        <v>12</v>
      </c>
      <c r="E130" t="s">
        <v>487</v>
      </c>
      <c r="F130" t="s">
        <v>488</v>
      </c>
      <c r="G130" t="s">
        <v>489</v>
      </c>
      <c r="H130" t="s">
        <v>490</v>
      </c>
    </row>
    <row r="131" spans="1:8" x14ac:dyDescent="0.25">
      <c r="A131" t="s">
        <v>485</v>
      </c>
      <c r="B131" t="s">
        <v>10</v>
      </c>
      <c r="C131" t="s">
        <v>492</v>
      </c>
      <c r="D131" t="s">
        <v>12</v>
      </c>
      <c r="E131" t="s">
        <v>493</v>
      </c>
      <c r="F131" t="s">
        <v>494</v>
      </c>
      <c r="G131" t="s">
        <v>495</v>
      </c>
      <c r="H131" t="s">
        <v>490</v>
      </c>
    </row>
    <row r="132" spans="1:8" x14ac:dyDescent="0.25">
      <c r="A132" t="s">
        <v>485</v>
      </c>
      <c r="B132" t="s">
        <v>10</v>
      </c>
      <c r="C132" t="s">
        <v>496</v>
      </c>
      <c r="D132" t="s">
        <v>12</v>
      </c>
      <c r="E132" t="s">
        <v>497</v>
      </c>
      <c r="F132" t="s">
        <v>498</v>
      </c>
      <c r="G132" t="s">
        <v>499</v>
      </c>
      <c r="H132" t="s">
        <v>490</v>
      </c>
    </row>
    <row r="133" spans="1:8" x14ac:dyDescent="0.25">
      <c r="A133" t="s">
        <v>485</v>
      </c>
      <c r="B133" t="s">
        <v>10</v>
      </c>
      <c r="C133" t="s">
        <v>500</v>
      </c>
      <c r="D133" t="s">
        <v>12</v>
      </c>
      <c r="E133" t="s">
        <v>501</v>
      </c>
      <c r="F133" t="s">
        <v>502</v>
      </c>
      <c r="G133" t="s">
        <v>503</v>
      </c>
      <c r="H133" t="s">
        <v>490</v>
      </c>
    </row>
    <row r="134" spans="1:8" x14ac:dyDescent="0.25">
      <c r="A134" t="s">
        <v>485</v>
      </c>
      <c r="B134" t="s">
        <v>10</v>
      </c>
      <c r="C134" t="s">
        <v>504</v>
      </c>
      <c r="D134" t="s">
        <v>12</v>
      </c>
      <c r="E134" t="s">
        <v>505</v>
      </c>
      <c r="F134" t="s">
        <v>506</v>
      </c>
      <c r="G134" t="s">
        <v>203</v>
      </c>
      <c r="H134" t="s">
        <v>490</v>
      </c>
    </row>
    <row r="135" spans="1:8" x14ac:dyDescent="0.25">
      <c r="A135" t="s">
        <v>485</v>
      </c>
      <c r="B135" t="s">
        <v>10</v>
      </c>
      <c r="C135" t="s">
        <v>507</v>
      </c>
      <c r="D135" t="s">
        <v>12</v>
      </c>
      <c r="E135" t="s">
        <v>508</v>
      </c>
      <c r="F135" t="s">
        <v>51</v>
      </c>
      <c r="G135" t="s">
        <v>30</v>
      </c>
      <c r="H135" t="s">
        <v>490</v>
      </c>
    </row>
    <row r="136" spans="1:8" x14ac:dyDescent="0.25">
      <c r="A136" t="s">
        <v>509</v>
      </c>
      <c r="B136" t="s">
        <v>10</v>
      </c>
      <c r="C136" t="s">
        <v>510</v>
      </c>
      <c r="D136" t="s">
        <v>12</v>
      </c>
      <c r="E136" t="s">
        <v>511</v>
      </c>
      <c r="F136" t="s">
        <v>512</v>
      </c>
      <c r="G136">
        <v>0.77</v>
      </c>
      <c r="H136" t="s">
        <v>16</v>
      </c>
    </row>
    <row r="137" spans="1:8" x14ac:dyDescent="0.25">
      <c r="A137" t="s">
        <v>509</v>
      </c>
      <c r="B137" t="s">
        <v>10</v>
      </c>
      <c r="C137" t="s">
        <v>513</v>
      </c>
      <c r="D137" t="s">
        <v>12</v>
      </c>
      <c r="E137" t="s">
        <v>439</v>
      </c>
      <c r="F137" t="s">
        <v>282</v>
      </c>
      <c r="G137">
        <v>1.07</v>
      </c>
      <c r="H137" t="s">
        <v>16</v>
      </c>
    </row>
    <row r="138" spans="1:8" x14ac:dyDescent="0.25">
      <c r="A138" t="s">
        <v>509</v>
      </c>
      <c r="B138" t="s">
        <v>10</v>
      </c>
      <c r="C138" t="s">
        <v>515</v>
      </c>
      <c r="D138" t="s">
        <v>12</v>
      </c>
      <c r="E138" t="s">
        <v>516</v>
      </c>
      <c r="F138" t="s">
        <v>517</v>
      </c>
      <c r="G138">
        <v>1.1599999999999999</v>
      </c>
      <c r="H138" t="s">
        <v>519</v>
      </c>
    </row>
    <row r="139" spans="1:8" x14ac:dyDescent="0.25">
      <c r="A139" t="s">
        <v>509</v>
      </c>
      <c r="B139" t="s">
        <v>10</v>
      </c>
      <c r="C139" t="s">
        <v>520</v>
      </c>
      <c r="D139" t="s">
        <v>12</v>
      </c>
      <c r="E139" t="s">
        <v>521</v>
      </c>
      <c r="F139" t="s">
        <v>522</v>
      </c>
      <c r="G139">
        <v>1.45</v>
      </c>
      <c r="H139" t="s">
        <v>519</v>
      </c>
    </row>
    <row r="140" spans="1:8" x14ac:dyDescent="0.25">
      <c r="A140" t="s">
        <v>509</v>
      </c>
      <c r="B140" t="s">
        <v>10</v>
      </c>
      <c r="C140" t="s">
        <v>523</v>
      </c>
      <c r="D140" t="s">
        <v>12</v>
      </c>
      <c r="E140" t="s">
        <v>524</v>
      </c>
      <c r="F140" t="s">
        <v>525</v>
      </c>
      <c r="G140">
        <v>1.67</v>
      </c>
      <c r="H140" t="s">
        <v>74</v>
      </c>
    </row>
    <row r="141" spans="1:8" x14ac:dyDescent="0.25">
      <c r="A141" t="s">
        <v>509</v>
      </c>
      <c r="B141" t="s">
        <v>10</v>
      </c>
      <c r="C141" t="s">
        <v>526</v>
      </c>
      <c r="D141" t="s">
        <v>12</v>
      </c>
      <c r="E141" t="s">
        <v>527</v>
      </c>
      <c r="F141" t="s">
        <v>528</v>
      </c>
      <c r="G141">
        <v>3.13</v>
      </c>
      <c r="H141" t="s">
        <v>74</v>
      </c>
    </row>
    <row r="142" spans="1:8" x14ac:dyDescent="0.25">
      <c r="A142" t="s">
        <v>509</v>
      </c>
      <c r="B142" t="s">
        <v>10</v>
      </c>
      <c r="C142" t="s">
        <v>530</v>
      </c>
      <c r="D142" t="s">
        <v>12</v>
      </c>
      <c r="E142" t="s">
        <v>531</v>
      </c>
      <c r="F142" t="s">
        <v>532</v>
      </c>
      <c r="G142">
        <v>1.36</v>
      </c>
      <c r="H142" t="s">
        <v>533</v>
      </c>
    </row>
    <row r="143" spans="1:8" x14ac:dyDescent="0.25">
      <c r="A143" t="s">
        <v>509</v>
      </c>
      <c r="B143" t="s">
        <v>10</v>
      </c>
      <c r="C143" t="s">
        <v>534</v>
      </c>
      <c r="D143" t="s">
        <v>12</v>
      </c>
      <c r="E143" t="s">
        <v>501</v>
      </c>
      <c r="F143" t="s">
        <v>210</v>
      </c>
      <c r="G143">
        <v>2.0499999999999998</v>
      </c>
      <c r="H143" t="s">
        <v>533</v>
      </c>
    </row>
    <row r="144" spans="1:8" x14ac:dyDescent="0.25">
      <c r="A144" t="s">
        <v>535</v>
      </c>
      <c r="B144" t="s">
        <v>10</v>
      </c>
      <c r="C144" t="s">
        <v>536</v>
      </c>
      <c r="D144" t="s">
        <v>77</v>
      </c>
      <c r="E144" t="s">
        <v>537</v>
      </c>
      <c r="F144" t="s">
        <v>249</v>
      </c>
      <c r="G144" t="s">
        <v>538</v>
      </c>
      <c r="H144" t="s">
        <v>539</v>
      </c>
    </row>
    <row r="145" spans="1:8" x14ac:dyDescent="0.25">
      <c r="A145" t="s">
        <v>535</v>
      </c>
      <c r="B145" t="s">
        <v>10</v>
      </c>
      <c r="C145" t="s">
        <v>540</v>
      </c>
      <c r="D145" t="s">
        <v>77</v>
      </c>
      <c r="E145" t="s">
        <v>541</v>
      </c>
      <c r="F145" t="s">
        <v>542</v>
      </c>
      <c r="G145" t="s">
        <v>543</v>
      </c>
      <c r="H145" t="s">
        <v>539</v>
      </c>
    </row>
    <row r="146" spans="1:8" x14ac:dyDescent="0.25">
      <c r="A146" t="s">
        <v>535</v>
      </c>
      <c r="B146" t="s">
        <v>10</v>
      </c>
      <c r="C146" t="s">
        <v>544</v>
      </c>
      <c r="D146" t="s">
        <v>77</v>
      </c>
      <c r="E146" t="s">
        <v>545</v>
      </c>
      <c r="F146" t="s">
        <v>546</v>
      </c>
      <c r="G146" t="s">
        <v>547</v>
      </c>
      <c r="H146" t="s">
        <v>539</v>
      </c>
    </row>
    <row r="147" spans="1:8" x14ac:dyDescent="0.25">
      <c r="A147" t="s">
        <v>535</v>
      </c>
      <c r="B147" t="s">
        <v>10</v>
      </c>
      <c r="C147" t="s">
        <v>548</v>
      </c>
      <c r="D147" t="s">
        <v>77</v>
      </c>
      <c r="E147" t="s">
        <v>549</v>
      </c>
      <c r="F147" t="s">
        <v>550</v>
      </c>
      <c r="G147" t="s">
        <v>551</v>
      </c>
      <c r="H147" t="s">
        <v>539</v>
      </c>
    </row>
    <row r="148" spans="1:8" x14ac:dyDescent="0.25">
      <c r="A148" t="s">
        <v>552</v>
      </c>
      <c r="B148" t="s">
        <v>10</v>
      </c>
      <c r="C148" t="s">
        <v>553</v>
      </c>
      <c r="D148" t="s">
        <v>106</v>
      </c>
      <c r="E148" t="s">
        <v>554</v>
      </c>
      <c r="F148" t="s">
        <v>555</v>
      </c>
      <c r="G148" t="s">
        <v>556</v>
      </c>
      <c r="H148" t="s">
        <v>557</v>
      </c>
    </row>
    <row r="149" spans="1:8" x14ac:dyDescent="0.25">
      <c r="A149" t="s">
        <v>552</v>
      </c>
      <c r="B149" t="s">
        <v>10</v>
      </c>
      <c r="C149" t="s">
        <v>558</v>
      </c>
      <c r="D149" t="s">
        <v>106</v>
      </c>
      <c r="E149" t="s">
        <v>367</v>
      </c>
      <c r="F149" t="s">
        <v>559</v>
      </c>
      <c r="G149" t="s">
        <v>556</v>
      </c>
      <c r="H149" t="s">
        <v>557</v>
      </c>
    </row>
    <row r="150" spans="1:8" x14ac:dyDescent="0.25">
      <c r="A150" t="s">
        <v>552</v>
      </c>
      <c r="B150" t="s">
        <v>10</v>
      </c>
      <c r="C150" t="s">
        <v>560</v>
      </c>
      <c r="D150" t="s">
        <v>106</v>
      </c>
      <c r="E150" t="s">
        <v>561</v>
      </c>
      <c r="F150" t="s">
        <v>562</v>
      </c>
      <c r="G150" t="s">
        <v>563</v>
      </c>
      <c r="H150" t="s">
        <v>557</v>
      </c>
    </row>
    <row r="151" spans="1:8" x14ac:dyDescent="0.25">
      <c r="A151" t="s">
        <v>552</v>
      </c>
      <c r="B151" t="s">
        <v>10</v>
      </c>
      <c r="C151" t="s">
        <v>560</v>
      </c>
      <c r="D151" t="s">
        <v>106</v>
      </c>
      <c r="E151" t="s">
        <v>564</v>
      </c>
      <c r="F151" t="s">
        <v>565</v>
      </c>
      <c r="G151" t="s">
        <v>150</v>
      </c>
      <c r="H151" t="s">
        <v>557</v>
      </c>
    </row>
    <row r="152" spans="1:8" x14ac:dyDescent="0.25">
      <c r="A152" t="s">
        <v>552</v>
      </c>
      <c r="B152" t="s">
        <v>10</v>
      </c>
      <c r="C152" t="s">
        <v>566</v>
      </c>
      <c r="D152" t="s">
        <v>106</v>
      </c>
      <c r="E152" t="s">
        <v>567</v>
      </c>
      <c r="F152" t="s">
        <v>568</v>
      </c>
      <c r="G152" t="s">
        <v>569</v>
      </c>
      <c r="H152" t="s">
        <v>557</v>
      </c>
    </row>
    <row r="153" spans="1:8" x14ac:dyDescent="0.25">
      <c r="A153" t="s">
        <v>552</v>
      </c>
      <c r="B153" t="s">
        <v>10</v>
      </c>
      <c r="C153" t="s">
        <v>570</v>
      </c>
      <c r="D153" t="s">
        <v>106</v>
      </c>
      <c r="E153" t="s">
        <v>409</v>
      </c>
      <c r="F153" t="s">
        <v>571</v>
      </c>
      <c r="G153" t="s">
        <v>572</v>
      </c>
      <c r="H153" t="s">
        <v>557</v>
      </c>
    </row>
    <row r="154" spans="1:8" x14ac:dyDescent="0.25">
      <c r="A154" t="s">
        <v>573</v>
      </c>
      <c r="B154" t="s">
        <v>10</v>
      </c>
      <c r="C154" t="s">
        <v>574</v>
      </c>
      <c r="D154" t="s">
        <v>106</v>
      </c>
      <c r="E154">
        <v>630</v>
      </c>
      <c r="F154">
        <v>902</v>
      </c>
      <c r="G154">
        <v>1100</v>
      </c>
      <c r="H154" t="s">
        <v>575</v>
      </c>
    </row>
    <row r="155" spans="1:8" x14ac:dyDescent="0.25">
      <c r="A155" t="s">
        <v>573</v>
      </c>
      <c r="B155" t="s">
        <v>10</v>
      </c>
      <c r="C155" t="s">
        <v>576</v>
      </c>
      <c r="D155" t="s">
        <v>106</v>
      </c>
      <c r="E155">
        <v>835</v>
      </c>
      <c r="F155">
        <v>1107</v>
      </c>
      <c r="G155">
        <v>1325</v>
      </c>
      <c r="H155" t="s">
        <v>575</v>
      </c>
    </row>
    <row r="156" spans="1:8" x14ac:dyDescent="0.25">
      <c r="A156" t="s">
        <v>573</v>
      </c>
      <c r="B156" t="s">
        <v>10</v>
      </c>
      <c r="C156" t="s">
        <v>578</v>
      </c>
      <c r="D156" t="s">
        <v>106</v>
      </c>
      <c r="E156">
        <v>950</v>
      </c>
      <c r="F156">
        <v>1495</v>
      </c>
      <c r="G156">
        <v>1850</v>
      </c>
      <c r="H156" t="s">
        <v>575</v>
      </c>
    </row>
    <row r="157" spans="1:8" x14ac:dyDescent="0.25">
      <c r="A157" t="s">
        <v>580</v>
      </c>
      <c r="B157" t="s">
        <v>10</v>
      </c>
      <c r="C157" t="s">
        <v>581</v>
      </c>
      <c r="D157" t="s">
        <v>106</v>
      </c>
      <c r="E157" t="s">
        <v>582</v>
      </c>
      <c r="F157" t="s">
        <v>583</v>
      </c>
      <c r="G157" t="s">
        <v>584</v>
      </c>
      <c r="H157" t="s">
        <v>585</v>
      </c>
    </row>
    <row r="158" spans="1:8" x14ac:dyDescent="0.25">
      <c r="A158" t="s">
        <v>580</v>
      </c>
      <c r="B158" t="s">
        <v>10</v>
      </c>
      <c r="C158" t="s">
        <v>586</v>
      </c>
      <c r="D158" t="s">
        <v>106</v>
      </c>
      <c r="E158" t="s">
        <v>398</v>
      </c>
      <c r="F158" t="s">
        <v>587</v>
      </c>
      <c r="G158" t="s">
        <v>588</v>
      </c>
      <c r="H158" t="s">
        <v>585</v>
      </c>
    </row>
    <row r="159" spans="1:8" x14ac:dyDescent="0.25">
      <c r="A159" t="s">
        <v>589</v>
      </c>
      <c r="B159" t="s">
        <v>10</v>
      </c>
      <c r="C159" t="s">
        <v>590</v>
      </c>
      <c r="D159" t="s">
        <v>106</v>
      </c>
      <c r="E159" t="s">
        <v>591</v>
      </c>
      <c r="F159" t="s">
        <v>592</v>
      </c>
      <c r="G159" t="s">
        <v>359</v>
      </c>
      <c r="H159" t="s">
        <v>593</v>
      </c>
    </row>
    <row r="160" spans="1:8" x14ac:dyDescent="0.25">
      <c r="A160" t="s">
        <v>589</v>
      </c>
      <c r="B160" t="s">
        <v>10</v>
      </c>
      <c r="C160" t="s">
        <v>594</v>
      </c>
      <c r="D160" t="s">
        <v>106</v>
      </c>
      <c r="E160" t="s">
        <v>579</v>
      </c>
      <c r="F160" t="s">
        <v>595</v>
      </c>
      <c r="G160" t="s">
        <v>596</v>
      </c>
      <c r="H160" t="s">
        <v>593</v>
      </c>
    </row>
    <row r="161" spans="1:9" x14ac:dyDescent="0.25">
      <c r="A161" t="s">
        <v>597</v>
      </c>
      <c r="B161" t="s">
        <v>10</v>
      </c>
      <c r="C161" t="s">
        <v>598</v>
      </c>
      <c r="D161" t="s">
        <v>106</v>
      </c>
      <c r="E161" t="s">
        <v>591</v>
      </c>
      <c r="F161" t="s">
        <v>599</v>
      </c>
      <c r="G161" t="s">
        <v>456</v>
      </c>
      <c r="H161" t="s">
        <v>600</v>
      </c>
    </row>
    <row r="162" spans="1:9" x14ac:dyDescent="0.25">
      <c r="A162" t="s">
        <v>597</v>
      </c>
      <c r="B162" t="s">
        <v>10</v>
      </c>
      <c r="C162" t="s">
        <v>601</v>
      </c>
      <c r="D162" t="s">
        <v>106</v>
      </c>
      <c r="E162" t="s">
        <v>602</v>
      </c>
      <c r="F162" t="s">
        <v>603</v>
      </c>
      <c r="G162" t="s">
        <v>604</v>
      </c>
      <c r="H162" t="s">
        <v>600</v>
      </c>
    </row>
    <row r="163" spans="1:9" x14ac:dyDescent="0.25">
      <c r="A163" t="s">
        <v>597</v>
      </c>
      <c r="B163" t="s">
        <v>10</v>
      </c>
      <c r="C163" t="s">
        <v>605</v>
      </c>
      <c r="D163" t="s">
        <v>106</v>
      </c>
      <c r="E163" t="s">
        <v>606</v>
      </c>
      <c r="F163" t="s">
        <v>607</v>
      </c>
      <c r="G163" t="s">
        <v>608</v>
      </c>
      <c r="H163" t="s">
        <v>600</v>
      </c>
    </row>
    <row r="164" spans="1:9" x14ac:dyDescent="0.25">
      <c r="A164" t="s">
        <v>609</v>
      </c>
      <c r="B164" t="s">
        <v>10</v>
      </c>
      <c r="C164" t="s">
        <v>610</v>
      </c>
      <c r="D164" t="s">
        <v>106</v>
      </c>
      <c r="E164" t="s">
        <v>452</v>
      </c>
      <c r="F164" t="s">
        <v>611</v>
      </c>
      <c r="G164" t="s">
        <v>141</v>
      </c>
      <c r="H164" t="s">
        <v>585</v>
      </c>
    </row>
    <row r="165" spans="1:9" x14ac:dyDescent="0.25">
      <c r="A165" t="s">
        <v>609</v>
      </c>
      <c r="B165" t="s">
        <v>10</v>
      </c>
      <c r="C165" t="s">
        <v>612</v>
      </c>
      <c r="D165" t="s">
        <v>106</v>
      </c>
      <c r="E165" t="s">
        <v>602</v>
      </c>
      <c r="F165" t="s">
        <v>613</v>
      </c>
      <c r="G165" t="s">
        <v>457</v>
      </c>
      <c r="H165" t="s">
        <v>585</v>
      </c>
    </row>
    <row r="166" spans="1:9" x14ac:dyDescent="0.25">
      <c r="A166" t="s">
        <v>609</v>
      </c>
      <c r="B166" t="s">
        <v>10</v>
      </c>
      <c r="C166" t="s">
        <v>614</v>
      </c>
      <c r="D166" t="s">
        <v>106</v>
      </c>
      <c r="E166" t="s">
        <v>615</v>
      </c>
      <c r="F166" t="s">
        <v>616</v>
      </c>
      <c r="G166" t="s">
        <v>427</v>
      </c>
      <c r="H166" t="s">
        <v>585</v>
      </c>
    </row>
    <row r="167" spans="1:9" x14ac:dyDescent="0.25">
      <c r="A167" t="s">
        <v>609</v>
      </c>
      <c r="B167" t="s">
        <v>10</v>
      </c>
      <c r="C167" t="s">
        <v>617</v>
      </c>
      <c r="D167" t="s">
        <v>106</v>
      </c>
      <c r="E167" t="s">
        <v>569</v>
      </c>
      <c r="F167" t="s">
        <v>618</v>
      </c>
      <c r="G167" t="s">
        <v>413</v>
      </c>
      <c r="H167" t="s">
        <v>585</v>
      </c>
    </row>
    <row r="168" spans="1:9" x14ac:dyDescent="0.25">
      <c r="A168" t="s">
        <v>619</v>
      </c>
      <c r="B168" t="s">
        <v>10</v>
      </c>
      <c r="C168" t="s">
        <v>620</v>
      </c>
      <c r="D168" t="s">
        <v>106</v>
      </c>
      <c r="E168" t="s">
        <v>621</v>
      </c>
      <c r="F168" t="s">
        <v>622</v>
      </c>
      <c r="G168" t="s">
        <v>144</v>
      </c>
      <c r="H168" t="s">
        <v>623</v>
      </c>
    </row>
    <row r="169" spans="1:9" x14ac:dyDescent="0.25">
      <c r="A169" t="s">
        <v>619</v>
      </c>
      <c r="B169" t="s">
        <v>10</v>
      </c>
      <c r="C169" t="s">
        <v>624</v>
      </c>
      <c r="D169" t="s">
        <v>106</v>
      </c>
      <c r="E169" t="s">
        <v>577</v>
      </c>
      <c r="F169" t="s">
        <v>625</v>
      </c>
      <c r="G169" t="s">
        <v>626</v>
      </c>
      <c r="H169" t="s">
        <v>623</v>
      </c>
    </row>
    <row r="170" spans="1:9" x14ac:dyDescent="0.25">
      <c r="A170" t="s">
        <v>627</v>
      </c>
      <c r="B170" t="s">
        <v>10</v>
      </c>
      <c r="C170" t="s">
        <v>628</v>
      </c>
      <c r="D170" t="s">
        <v>106</v>
      </c>
      <c r="E170" t="s">
        <v>629</v>
      </c>
      <c r="F170" t="s">
        <v>630</v>
      </c>
      <c r="G170" t="s">
        <v>631</v>
      </c>
      <c r="H170" t="s">
        <v>632</v>
      </c>
    </row>
    <row r="171" spans="1:9" x14ac:dyDescent="0.25">
      <c r="A171" t="s">
        <v>627</v>
      </c>
      <c r="B171" t="s">
        <v>10</v>
      </c>
      <c r="C171" t="s">
        <v>633</v>
      </c>
      <c r="D171" t="s">
        <v>106</v>
      </c>
      <c r="E171" t="s">
        <v>634</v>
      </c>
      <c r="F171" t="s">
        <v>635</v>
      </c>
      <c r="G171" t="s">
        <v>636</v>
      </c>
      <c r="H171" t="s">
        <v>632</v>
      </c>
    </row>
    <row r="172" spans="1:9" x14ac:dyDescent="0.25">
      <c r="A172" t="s">
        <v>637</v>
      </c>
      <c r="B172" t="s">
        <v>10</v>
      </c>
      <c r="C172" t="s">
        <v>628</v>
      </c>
      <c r="D172" t="s">
        <v>106</v>
      </c>
      <c r="E172" t="s">
        <v>629</v>
      </c>
      <c r="F172" t="s">
        <v>630</v>
      </c>
      <c r="G172" t="s">
        <v>631</v>
      </c>
      <c r="H172" t="s">
        <v>632</v>
      </c>
    </row>
    <row r="173" spans="1:9" x14ac:dyDescent="0.25">
      <c r="A173" t="s">
        <v>637</v>
      </c>
      <c r="B173" t="s">
        <v>10</v>
      </c>
      <c r="C173" t="s">
        <v>633</v>
      </c>
      <c r="D173" t="s">
        <v>106</v>
      </c>
      <c r="E173" t="s">
        <v>634</v>
      </c>
      <c r="F173" t="s">
        <v>635</v>
      </c>
      <c r="G173" t="s">
        <v>636</v>
      </c>
      <c r="H173" t="s">
        <v>632</v>
      </c>
    </row>
    <row r="174" spans="1:9" x14ac:dyDescent="0.25">
      <c r="A174" t="s">
        <v>638</v>
      </c>
      <c r="B174" t="s">
        <v>10</v>
      </c>
      <c r="C174" t="s">
        <v>639</v>
      </c>
      <c r="D174" t="s">
        <v>106</v>
      </c>
      <c r="E174" t="s">
        <v>640</v>
      </c>
      <c r="F174" t="s">
        <v>641</v>
      </c>
      <c r="G174" t="s">
        <v>642</v>
      </c>
      <c r="H174" t="s">
        <v>632</v>
      </c>
    </row>
    <row r="175" spans="1:9" x14ac:dyDescent="0.25">
      <c r="A175" t="s">
        <v>638</v>
      </c>
      <c r="B175" t="s">
        <v>10</v>
      </c>
      <c r="C175" t="s">
        <v>643</v>
      </c>
      <c r="D175" t="s">
        <v>106</v>
      </c>
      <c r="E175" t="s">
        <v>644</v>
      </c>
      <c r="F175" t="s">
        <v>645</v>
      </c>
      <c r="G175" t="s">
        <v>646</v>
      </c>
      <c r="H175" t="s">
        <v>632</v>
      </c>
    </row>
    <row r="176" spans="1:9" x14ac:dyDescent="0.25">
      <c r="A176" t="s">
        <v>647</v>
      </c>
      <c r="B176" t="s">
        <v>10</v>
      </c>
      <c r="C176" t="s">
        <v>648</v>
      </c>
      <c r="D176" t="s">
        <v>106</v>
      </c>
      <c r="E176" t="s">
        <v>649</v>
      </c>
      <c r="F176" t="s">
        <v>649</v>
      </c>
      <c r="G176" t="s">
        <v>649</v>
      </c>
      <c r="H176" t="s">
        <v>632</v>
      </c>
      <c r="I176" t="s">
        <v>650</v>
      </c>
    </row>
    <row r="177" spans="1:8" x14ac:dyDescent="0.25">
      <c r="A177" t="s">
        <v>651</v>
      </c>
      <c r="B177" t="s">
        <v>10</v>
      </c>
      <c r="C177" t="s">
        <v>652</v>
      </c>
      <c r="D177" t="s">
        <v>106</v>
      </c>
      <c r="E177" t="s">
        <v>653</v>
      </c>
      <c r="F177" t="s">
        <v>654</v>
      </c>
      <c r="G177" t="s">
        <v>608</v>
      </c>
      <c r="H177" t="s">
        <v>632</v>
      </c>
    </row>
    <row r="178" spans="1:8" x14ac:dyDescent="0.25">
      <c r="A178" t="s">
        <v>651</v>
      </c>
      <c r="B178" t="s">
        <v>10</v>
      </c>
      <c r="C178" t="s">
        <v>655</v>
      </c>
      <c r="D178" t="s">
        <v>106</v>
      </c>
      <c r="E178" t="s">
        <v>656</v>
      </c>
      <c r="F178" t="s">
        <v>657</v>
      </c>
      <c r="G178" t="s">
        <v>658</v>
      </c>
      <c r="H178" t="s">
        <v>632</v>
      </c>
    </row>
    <row r="179" spans="1:8" x14ac:dyDescent="0.25">
      <c r="A179" t="s">
        <v>651</v>
      </c>
      <c r="B179" t="s">
        <v>10</v>
      </c>
      <c r="C179" t="s">
        <v>659</v>
      </c>
      <c r="D179" t="s">
        <v>106</v>
      </c>
      <c r="E179" t="s">
        <v>608</v>
      </c>
      <c r="F179" t="s">
        <v>660</v>
      </c>
      <c r="G179" t="s">
        <v>572</v>
      </c>
      <c r="H179" t="s">
        <v>632</v>
      </c>
    </row>
    <row r="180" spans="1:8" x14ac:dyDescent="0.25">
      <c r="A180" t="s">
        <v>661</v>
      </c>
      <c r="B180" t="s">
        <v>10</v>
      </c>
      <c r="C180" t="s">
        <v>662</v>
      </c>
      <c r="D180" t="s">
        <v>106</v>
      </c>
      <c r="E180" t="s">
        <v>556</v>
      </c>
      <c r="F180" t="s">
        <v>663</v>
      </c>
      <c r="G180" t="s">
        <v>664</v>
      </c>
      <c r="H180" t="s">
        <v>665</v>
      </c>
    </row>
    <row r="181" spans="1:8" x14ac:dyDescent="0.25">
      <c r="A181" t="s">
        <v>661</v>
      </c>
      <c r="B181" t="s">
        <v>10</v>
      </c>
      <c r="C181" t="s">
        <v>666</v>
      </c>
      <c r="D181" t="s">
        <v>106</v>
      </c>
      <c r="E181" t="s">
        <v>667</v>
      </c>
      <c r="F181" t="s">
        <v>668</v>
      </c>
      <c r="G181" t="s">
        <v>461</v>
      </c>
      <c r="H181" t="s">
        <v>665</v>
      </c>
    </row>
    <row r="182" spans="1:8" x14ac:dyDescent="0.25">
      <c r="A182" t="s">
        <v>661</v>
      </c>
      <c r="B182" t="s">
        <v>10</v>
      </c>
      <c r="C182" t="s">
        <v>669</v>
      </c>
      <c r="D182" t="s">
        <v>106</v>
      </c>
      <c r="E182" t="s">
        <v>670</v>
      </c>
      <c r="F182" t="s">
        <v>671</v>
      </c>
      <c r="G182" t="s">
        <v>672</v>
      </c>
      <c r="H182" t="s">
        <v>673</v>
      </c>
    </row>
    <row r="183" spans="1:8" x14ac:dyDescent="0.25">
      <c r="A183" t="s">
        <v>661</v>
      </c>
      <c r="B183" t="s">
        <v>10</v>
      </c>
      <c r="C183" t="s">
        <v>674</v>
      </c>
      <c r="D183" t="s">
        <v>106</v>
      </c>
      <c r="E183" t="s">
        <v>675</v>
      </c>
      <c r="F183" t="s">
        <v>460</v>
      </c>
      <c r="G183" t="s">
        <v>676</v>
      </c>
      <c r="H183" t="s">
        <v>673</v>
      </c>
    </row>
    <row r="184" spans="1:8" x14ac:dyDescent="0.25">
      <c r="A184" t="s">
        <v>677</v>
      </c>
      <c r="B184" t="s">
        <v>10</v>
      </c>
      <c r="C184" t="s">
        <v>433</v>
      </c>
      <c r="D184" t="s">
        <v>12</v>
      </c>
      <c r="E184" t="s">
        <v>62</v>
      </c>
      <c r="F184" t="s">
        <v>434</v>
      </c>
      <c r="G184" t="s">
        <v>435</v>
      </c>
      <c r="H184" t="s">
        <v>436</v>
      </c>
    </row>
    <row r="185" spans="1:8" x14ac:dyDescent="0.25">
      <c r="A185" t="s">
        <v>678</v>
      </c>
      <c r="B185" t="s">
        <v>10</v>
      </c>
      <c r="C185" t="s">
        <v>486</v>
      </c>
      <c r="D185" t="s">
        <v>12</v>
      </c>
      <c r="E185" t="s">
        <v>487</v>
      </c>
      <c r="F185" t="s">
        <v>524</v>
      </c>
      <c r="G185" t="s">
        <v>545</v>
      </c>
      <c r="H185" t="s">
        <v>490</v>
      </c>
    </row>
    <row r="186" spans="1:8" x14ac:dyDescent="0.25">
      <c r="A186" t="s">
        <v>678</v>
      </c>
      <c r="B186" t="s">
        <v>10</v>
      </c>
      <c r="C186" t="s">
        <v>491</v>
      </c>
      <c r="D186" t="s">
        <v>12</v>
      </c>
      <c r="E186" t="s">
        <v>487</v>
      </c>
      <c r="F186" t="s">
        <v>524</v>
      </c>
      <c r="G186" t="s">
        <v>545</v>
      </c>
      <c r="H186" t="s">
        <v>490</v>
      </c>
    </row>
    <row r="187" spans="1:8" x14ac:dyDescent="0.25">
      <c r="A187" t="s">
        <v>678</v>
      </c>
      <c r="B187" t="s">
        <v>10</v>
      </c>
      <c r="C187" t="s">
        <v>492</v>
      </c>
      <c r="D187" t="s">
        <v>12</v>
      </c>
      <c r="E187" t="s">
        <v>493</v>
      </c>
      <c r="F187" t="s">
        <v>679</v>
      </c>
      <c r="G187" t="s">
        <v>203</v>
      </c>
      <c r="H187" t="s">
        <v>490</v>
      </c>
    </row>
    <row r="188" spans="1:8" x14ac:dyDescent="0.25">
      <c r="A188" t="s">
        <v>678</v>
      </c>
      <c r="B188" t="s">
        <v>10</v>
      </c>
      <c r="C188" t="s">
        <v>496</v>
      </c>
      <c r="D188" t="s">
        <v>12</v>
      </c>
      <c r="E188" t="s">
        <v>497</v>
      </c>
      <c r="F188" t="s">
        <v>495</v>
      </c>
      <c r="G188" t="s">
        <v>680</v>
      </c>
      <c r="H188" t="s">
        <v>490</v>
      </c>
    </row>
    <row r="189" spans="1:8" x14ac:dyDescent="0.25">
      <c r="A189" t="s">
        <v>678</v>
      </c>
      <c r="B189" t="s">
        <v>10</v>
      </c>
      <c r="C189" t="s">
        <v>500</v>
      </c>
      <c r="D189" t="s">
        <v>12</v>
      </c>
      <c r="E189" t="s">
        <v>501</v>
      </c>
      <c r="F189" t="s">
        <v>681</v>
      </c>
      <c r="G189" t="s">
        <v>71</v>
      </c>
      <c r="H189" t="s">
        <v>490</v>
      </c>
    </row>
    <row r="190" spans="1:8" x14ac:dyDescent="0.25">
      <c r="A190" t="s">
        <v>678</v>
      </c>
      <c r="B190" t="s">
        <v>10</v>
      </c>
      <c r="C190" t="s">
        <v>504</v>
      </c>
      <c r="D190" t="s">
        <v>12</v>
      </c>
      <c r="E190" t="s">
        <v>505</v>
      </c>
      <c r="F190" t="s">
        <v>682</v>
      </c>
      <c r="G190" t="s">
        <v>683</v>
      </c>
      <c r="H190" t="s">
        <v>490</v>
      </c>
    </row>
    <row r="191" spans="1:8" x14ac:dyDescent="0.25">
      <c r="A191" t="s">
        <v>678</v>
      </c>
      <c r="B191" t="s">
        <v>10</v>
      </c>
      <c r="C191" t="s">
        <v>507</v>
      </c>
      <c r="D191" t="s">
        <v>12</v>
      </c>
      <c r="E191" t="s">
        <v>508</v>
      </c>
      <c r="F191" t="s">
        <v>517</v>
      </c>
      <c r="G191" t="s">
        <v>684</v>
      </c>
      <c r="H191" t="s">
        <v>490</v>
      </c>
    </row>
    <row r="192" spans="1:8" x14ac:dyDescent="0.25">
      <c r="A192" t="s">
        <v>685</v>
      </c>
      <c r="B192" t="s">
        <v>10</v>
      </c>
      <c r="C192" t="s">
        <v>11</v>
      </c>
      <c r="D192" t="s">
        <v>12</v>
      </c>
      <c r="E192" t="s">
        <v>13</v>
      </c>
      <c r="F192" t="s">
        <v>14</v>
      </c>
      <c r="G192" t="s">
        <v>15</v>
      </c>
      <c r="H192" t="s">
        <v>16</v>
      </c>
    </row>
    <row r="193" spans="1:8" x14ac:dyDescent="0.25">
      <c r="A193" t="s">
        <v>685</v>
      </c>
      <c r="B193" t="s">
        <v>10</v>
      </c>
      <c r="C193" t="s">
        <v>17</v>
      </c>
      <c r="D193" t="s">
        <v>12</v>
      </c>
      <c r="E193" t="s">
        <v>18</v>
      </c>
      <c r="F193" t="s">
        <v>19</v>
      </c>
      <c r="G193" t="s">
        <v>20</v>
      </c>
      <c r="H193" t="s">
        <v>16</v>
      </c>
    </row>
    <row r="194" spans="1:8" x14ac:dyDescent="0.25">
      <c r="A194" t="s">
        <v>685</v>
      </c>
      <c r="B194" t="s">
        <v>10</v>
      </c>
      <c r="C194" t="s">
        <v>21</v>
      </c>
      <c r="D194" t="s">
        <v>12</v>
      </c>
      <c r="E194" t="s">
        <v>22</v>
      </c>
      <c r="F194" t="s">
        <v>23</v>
      </c>
      <c r="G194" t="s">
        <v>24</v>
      </c>
      <c r="H194" t="s">
        <v>16</v>
      </c>
    </row>
    <row r="195" spans="1:8" x14ac:dyDescent="0.25">
      <c r="A195" t="s">
        <v>685</v>
      </c>
      <c r="B195" t="s">
        <v>10</v>
      </c>
      <c r="C195" t="s">
        <v>25</v>
      </c>
      <c r="D195" t="s">
        <v>12</v>
      </c>
      <c r="E195" t="s">
        <v>26</v>
      </c>
      <c r="F195" t="s">
        <v>27</v>
      </c>
      <c r="G195" t="s">
        <v>28</v>
      </c>
      <c r="H195" t="s">
        <v>16</v>
      </c>
    </row>
    <row r="196" spans="1:8" x14ac:dyDescent="0.25">
      <c r="A196" t="s">
        <v>685</v>
      </c>
      <c r="B196" t="s">
        <v>10</v>
      </c>
      <c r="C196" t="s">
        <v>29</v>
      </c>
      <c r="D196" t="s">
        <v>12</v>
      </c>
      <c r="E196" t="s">
        <v>30</v>
      </c>
      <c r="F196" t="s">
        <v>31</v>
      </c>
      <c r="G196" t="s">
        <v>32</v>
      </c>
      <c r="H196" t="s">
        <v>33</v>
      </c>
    </row>
    <row r="197" spans="1:8" x14ac:dyDescent="0.25">
      <c r="A197" t="s">
        <v>685</v>
      </c>
      <c r="B197" t="s">
        <v>10</v>
      </c>
      <c r="C197" t="s">
        <v>34</v>
      </c>
      <c r="D197" t="s">
        <v>12</v>
      </c>
      <c r="E197" t="s">
        <v>35</v>
      </c>
      <c r="F197" t="s">
        <v>36</v>
      </c>
      <c r="G197" t="s">
        <v>37</v>
      </c>
      <c r="H197" t="s">
        <v>33</v>
      </c>
    </row>
    <row r="198" spans="1:8" x14ac:dyDescent="0.25">
      <c r="A198" t="s">
        <v>685</v>
      </c>
      <c r="B198" t="s">
        <v>10</v>
      </c>
      <c r="C198" t="s">
        <v>38</v>
      </c>
      <c r="D198" t="s">
        <v>12</v>
      </c>
      <c r="E198" t="s">
        <v>39</v>
      </c>
      <c r="F198" t="s">
        <v>40</v>
      </c>
      <c r="G198" t="s">
        <v>41</v>
      </c>
      <c r="H198" t="s">
        <v>33</v>
      </c>
    </row>
    <row r="199" spans="1:8" x14ac:dyDescent="0.25">
      <c r="A199" t="s">
        <v>685</v>
      </c>
      <c r="B199" t="s">
        <v>10</v>
      </c>
      <c r="C199" t="s">
        <v>42</v>
      </c>
      <c r="D199" t="s">
        <v>12</v>
      </c>
      <c r="E199" t="s">
        <v>43</v>
      </c>
      <c r="F199" t="s">
        <v>44</v>
      </c>
      <c r="G199" t="s">
        <v>45</v>
      </c>
      <c r="H199" t="s">
        <v>33</v>
      </c>
    </row>
    <row r="200" spans="1:8" x14ac:dyDescent="0.25">
      <c r="A200" t="s">
        <v>685</v>
      </c>
      <c r="B200" t="s">
        <v>10</v>
      </c>
      <c r="C200" t="s">
        <v>46</v>
      </c>
      <c r="D200" t="s">
        <v>12</v>
      </c>
      <c r="E200" t="s">
        <v>47</v>
      </c>
      <c r="F200" t="s">
        <v>48</v>
      </c>
      <c r="G200" t="s">
        <v>49</v>
      </c>
      <c r="H200" t="s">
        <v>16</v>
      </c>
    </row>
    <row r="201" spans="1:8" x14ac:dyDescent="0.25">
      <c r="A201" t="s">
        <v>685</v>
      </c>
      <c r="B201" t="s">
        <v>10</v>
      </c>
      <c r="C201" t="s">
        <v>50</v>
      </c>
      <c r="D201" t="s">
        <v>12</v>
      </c>
      <c r="E201" t="s">
        <v>51</v>
      </c>
      <c r="F201" t="s">
        <v>52</v>
      </c>
      <c r="G201" t="s">
        <v>53</v>
      </c>
      <c r="H201" t="s">
        <v>16</v>
      </c>
    </row>
    <row r="202" spans="1:8" x14ac:dyDescent="0.25">
      <c r="A202" t="s">
        <v>685</v>
      </c>
      <c r="B202" t="s">
        <v>10</v>
      </c>
      <c r="C202" t="s">
        <v>54</v>
      </c>
      <c r="D202" t="s">
        <v>12</v>
      </c>
      <c r="E202" t="s">
        <v>55</v>
      </c>
      <c r="F202" t="s">
        <v>56</v>
      </c>
      <c r="G202" t="s">
        <v>57</v>
      </c>
      <c r="H202" t="s">
        <v>16</v>
      </c>
    </row>
    <row r="203" spans="1:8" x14ac:dyDescent="0.25">
      <c r="A203" t="s">
        <v>685</v>
      </c>
      <c r="B203" t="s">
        <v>10</v>
      </c>
      <c r="C203" t="s">
        <v>58</v>
      </c>
      <c r="D203" t="s">
        <v>12</v>
      </c>
      <c r="E203" t="s">
        <v>59</v>
      </c>
      <c r="F203" t="s">
        <v>57</v>
      </c>
      <c r="G203" t="s">
        <v>60</v>
      </c>
      <c r="H203" t="s">
        <v>16</v>
      </c>
    </row>
    <row r="204" spans="1:8" x14ac:dyDescent="0.25">
      <c r="A204" t="s">
        <v>686</v>
      </c>
      <c r="B204" t="s">
        <v>10</v>
      </c>
      <c r="C204" t="s">
        <v>687</v>
      </c>
      <c r="D204" t="s">
        <v>12</v>
      </c>
      <c r="E204" t="s">
        <v>688</v>
      </c>
      <c r="F204" t="s">
        <v>689</v>
      </c>
      <c r="G204" t="s">
        <v>690</v>
      </c>
      <c r="H204" t="s">
        <v>691</v>
      </c>
    </row>
    <row r="205" spans="1:8" x14ac:dyDescent="0.25">
      <c r="A205" t="s">
        <v>686</v>
      </c>
      <c r="B205" t="s">
        <v>10</v>
      </c>
      <c r="C205" t="s">
        <v>692</v>
      </c>
      <c r="D205" t="s">
        <v>12</v>
      </c>
      <c r="E205" t="s">
        <v>693</v>
      </c>
      <c r="F205" t="s">
        <v>690</v>
      </c>
      <c r="G205" t="s">
        <v>694</v>
      </c>
      <c r="H205" t="s">
        <v>691</v>
      </c>
    </row>
    <row r="206" spans="1:8" x14ac:dyDescent="0.25">
      <c r="A206" t="s">
        <v>686</v>
      </c>
      <c r="B206" t="s">
        <v>10</v>
      </c>
      <c r="C206" t="s">
        <v>695</v>
      </c>
      <c r="D206" t="s">
        <v>12</v>
      </c>
      <c r="E206" t="s">
        <v>696</v>
      </c>
      <c r="F206" t="s">
        <v>697</v>
      </c>
      <c r="G206" t="s">
        <v>531</v>
      </c>
      <c r="H206" t="s">
        <v>691</v>
      </c>
    </row>
    <row r="207" spans="1:8" x14ac:dyDescent="0.25">
      <c r="A207" t="s">
        <v>686</v>
      </c>
      <c r="B207" t="s">
        <v>10</v>
      </c>
      <c r="C207" t="s">
        <v>698</v>
      </c>
      <c r="D207" t="s">
        <v>12</v>
      </c>
      <c r="E207" t="s">
        <v>697</v>
      </c>
      <c r="F207" t="s">
        <v>699</v>
      </c>
      <c r="G207" t="s">
        <v>700</v>
      </c>
      <c r="H207" t="s">
        <v>691</v>
      </c>
    </row>
    <row r="208" spans="1:8" x14ac:dyDescent="0.25">
      <c r="A208" t="s">
        <v>686</v>
      </c>
      <c r="B208" t="s">
        <v>10</v>
      </c>
      <c r="C208" t="s">
        <v>701</v>
      </c>
      <c r="D208" t="s">
        <v>12</v>
      </c>
      <c r="E208" t="s">
        <v>62</v>
      </c>
      <c r="F208" t="s">
        <v>501</v>
      </c>
      <c r="G208" t="s">
        <v>702</v>
      </c>
      <c r="H208" t="s">
        <v>691</v>
      </c>
    </row>
    <row r="209" spans="1:8" x14ac:dyDescent="0.25">
      <c r="A209" t="s">
        <v>703</v>
      </c>
      <c r="B209" t="s">
        <v>10</v>
      </c>
      <c r="C209" t="s">
        <v>704</v>
      </c>
      <c r="D209" t="s">
        <v>12</v>
      </c>
      <c r="E209" t="s">
        <v>495</v>
      </c>
      <c r="F209" t="s">
        <v>178</v>
      </c>
      <c r="G209" t="s">
        <v>705</v>
      </c>
      <c r="H209" t="s">
        <v>706</v>
      </c>
    </row>
    <row r="210" spans="1:8" x14ac:dyDescent="0.25">
      <c r="A210" t="s">
        <v>703</v>
      </c>
      <c r="B210" t="s">
        <v>10</v>
      </c>
      <c r="C210" t="s">
        <v>707</v>
      </c>
      <c r="D210" t="s">
        <v>12</v>
      </c>
      <c r="E210" t="s">
        <v>708</v>
      </c>
      <c r="F210" t="s">
        <v>204</v>
      </c>
      <c r="G210" t="s">
        <v>709</v>
      </c>
      <c r="H210" t="s">
        <v>706</v>
      </c>
    </row>
    <row r="211" spans="1:8" x14ac:dyDescent="0.25">
      <c r="A211" t="s">
        <v>703</v>
      </c>
      <c r="B211" t="s">
        <v>10</v>
      </c>
      <c r="C211" t="s">
        <v>710</v>
      </c>
      <c r="D211" t="s">
        <v>12</v>
      </c>
      <c r="E211" t="s">
        <v>711</v>
      </c>
      <c r="F211" t="s">
        <v>712</v>
      </c>
      <c r="G211" t="s">
        <v>189</v>
      </c>
      <c r="H211" t="s">
        <v>706</v>
      </c>
    </row>
    <row r="212" spans="1:8" x14ac:dyDescent="0.25">
      <c r="A212" t="s">
        <v>703</v>
      </c>
      <c r="B212" t="s">
        <v>10</v>
      </c>
      <c r="C212" t="s">
        <v>713</v>
      </c>
      <c r="D212" t="s">
        <v>12</v>
      </c>
      <c r="E212" t="s">
        <v>714</v>
      </c>
      <c r="F212" t="s">
        <v>715</v>
      </c>
      <c r="G212" t="s">
        <v>716</v>
      </c>
      <c r="H212" t="s">
        <v>706</v>
      </c>
    </row>
    <row r="213" spans="1:8" x14ac:dyDescent="0.25">
      <c r="A213" t="s">
        <v>703</v>
      </c>
      <c r="B213" t="s">
        <v>10</v>
      </c>
      <c r="C213" t="s">
        <v>717</v>
      </c>
      <c r="D213" t="s">
        <v>12</v>
      </c>
      <c r="E213" t="s">
        <v>718</v>
      </c>
      <c r="F213" t="s">
        <v>719</v>
      </c>
      <c r="G213" t="s">
        <v>720</v>
      </c>
      <c r="H213" t="s">
        <v>721</v>
      </c>
    </row>
    <row r="214" spans="1:8" x14ac:dyDescent="0.25">
      <c r="A214" t="s">
        <v>703</v>
      </c>
      <c r="B214" t="s">
        <v>10</v>
      </c>
      <c r="C214" t="s">
        <v>722</v>
      </c>
      <c r="D214" t="s">
        <v>12</v>
      </c>
      <c r="E214" t="s">
        <v>723</v>
      </c>
      <c r="F214" t="s">
        <v>724</v>
      </c>
      <c r="G214" t="s">
        <v>725</v>
      </c>
      <c r="H214" t="s">
        <v>721</v>
      </c>
    </row>
    <row r="215" spans="1:8" x14ac:dyDescent="0.25">
      <c r="A215" t="s">
        <v>703</v>
      </c>
      <c r="B215" t="s">
        <v>10</v>
      </c>
      <c r="C215" t="s">
        <v>726</v>
      </c>
      <c r="D215" t="s">
        <v>12</v>
      </c>
      <c r="E215" t="s">
        <v>727</v>
      </c>
      <c r="F215" t="s">
        <v>728</v>
      </c>
      <c r="G215" t="s">
        <v>729</v>
      </c>
      <c r="H215" t="s">
        <v>721</v>
      </c>
    </row>
    <row r="216" spans="1:8" x14ac:dyDescent="0.25">
      <c r="A216" t="s">
        <v>703</v>
      </c>
      <c r="B216" t="s">
        <v>10</v>
      </c>
      <c r="C216" t="s">
        <v>730</v>
      </c>
      <c r="D216" t="s">
        <v>12</v>
      </c>
      <c r="E216" t="s">
        <v>502</v>
      </c>
      <c r="F216" t="s">
        <v>731</v>
      </c>
      <c r="G216" t="s">
        <v>529</v>
      </c>
      <c r="H216" t="s">
        <v>732</v>
      </c>
    </row>
    <row r="217" spans="1:8" x14ac:dyDescent="0.25">
      <c r="A217" t="s">
        <v>703</v>
      </c>
      <c r="B217" t="s">
        <v>10</v>
      </c>
      <c r="C217" t="s">
        <v>733</v>
      </c>
      <c r="D217" t="s">
        <v>12</v>
      </c>
      <c r="E217" t="s">
        <v>204</v>
      </c>
      <c r="F217" t="s">
        <v>734</v>
      </c>
      <c r="G217" t="s">
        <v>735</v>
      </c>
      <c r="H217" t="s">
        <v>732</v>
      </c>
    </row>
    <row r="218" spans="1:8" x14ac:dyDescent="0.25">
      <c r="A218" t="s">
        <v>703</v>
      </c>
      <c r="B218" t="s">
        <v>10</v>
      </c>
      <c r="C218" t="s">
        <v>736</v>
      </c>
      <c r="D218" t="s">
        <v>12</v>
      </c>
      <c r="E218" t="s">
        <v>522</v>
      </c>
      <c r="F218" t="s">
        <v>737</v>
      </c>
      <c r="G218" t="s">
        <v>40</v>
      </c>
      <c r="H218" t="s">
        <v>738</v>
      </c>
    </row>
    <row r="219" spans="1:8" x14ac:dyDescent="0.25">
      <c r="A219" t="s">
        <v>703</v>
      </c>
      <c r="B219" t="s">
        <v>10</v>
      </c>
      <c r="C219" t="s">
        <v>739</v>
      </c>
      <c r="D219" t="s">
        <v>12</v>
      </c>
      <c r="E219" t="s">
        <v>207</v>
      </c>
      <c r="F219" t="s">
        <v>547</v>
      </c>
      <c r="G219" t="s">
        <v>740</v>
      </c>
      <c r="H219" t="s">
        <v>738</v>
      </c>
    </row>
    <row r="220" spans="1:8" x14ac:dyDescent="0.25">
      <c r="A220" t="s">
        <v>741</v>
      </c>
      <c r="B220" t="s">
        <v>10</v>
      </c>
      <c r="C220" t="str">
        <f>_xlfn.CONCAT(C209, " + minimum cost felt")</f>
        <v>Asphalt Singles, standard strip, 25 year, pneumatic nailed + minimum cost felt</v>
      </c>
      <c r="D220" t="s">
        <v>12</v>
      </c>
      <c r="E220">
        <f>E209+E$204</f>
        <v>1</v>
      </c>
      <c r="F220">
        <f t="shared" ref="F220:G220" si="0">F209+F$204</f>
        <v>1.6300000000000001</v>
      </c>
      <c r="G220">
        <f t="shared" si="0"/>
        <v>2.14</v>
      </c>
      <c r="H220" t="s">
        <v>1799</v>
      </c>
    </row>
    <row r="221" spans="1:8" x14ac:dyDescent="0.25">
      <c r="A221" t="s">
        <v>741</v>
      </c>
      <c r="B221" t="s">
        <v>10</v>
      </c>
      <c r="C221" t="str">
        <f t="shared" ref="C221:C230" si="1">_xlfn.CONCAT(C210, " + minimum cost felt")</f>
        <v>Asphalt Singles, standard strip, 30 year, pneumatic nailed + minimum cost felt</v>
      </c>
      <c r="D221" t="s">
        <v>12</v>
      </c>
      <c r="E221">
        <f t="shared" ref="E221:G221" si="2">E210+E$204</f>
        <v>1.3</v>
      </c>
      <c r="F221">
        <f t="shared" si="2"/>
        <v>2.0099999999999998</v>
      </c>
      <c r="G221">
        <f t="shared" si="2"/>
        <v>2.58</v>
      </c>
      <c r="H221" t="s">
        <v>1799</v>
      </c>
    </row>
    <row r="222" spans="1:8" x14ac:dyDescent="0.25">
      <c r="A222" t="s">
        <v>741</v>
      </c>
      <c r="B222" t="s">
        <v>10</v>
      </c>
      <c r="C222" t="str">
        <f t="shared" si="1"/>
        <v>Asphalt Shingles, Premium, laminated multi-layer, 260-300lb/sq, pneumatic nailed + minimum cost felt</v>
      </c>
      <c r="D222" t="s">
        <v>12</v>
      </c>
      <c r="E222">
        <f t="shared" ref="E222:G222" si="3">E211+E$204</f>
        <v>1.6400000000000001</v>
      </c>
      <c r="F222">
        <f t="shared" si="3"/>
        <v>2.6199999999999997</v>
      </c>
      <c r="G222">
        <f t="shared" si="3"/>
        <v>3.41</v>
      </c>
      <c r="H222" t="s">
        <v>1799</v>
      </c>
    </row>
    <row r="223" spans="1:8" x14ac:dyDescent="0.25">
      <c r="A223" t="s">
        <v>741</v>
      </c>
      <c r="B223" t="s">
        <v>10</v>
      </c>
      <c r="C223" t="str">
        <f t="shared" si="1"/>
        <v>Asphalt Shingles, Premium, laminated multi-layer, 300-385lb/sq, pneumatic nailed + minimum cost felt</v>
      </c>
      <c r="D223" t="s">
        <v>12</v>
      </c>
      <c r="E223">
        <f t="shared" ref="E223:G223" si="4">E212+E$204</f>
        <v>4.1900000000000004</v>
      </c>
      <c r="F223">
        <f t="shared" si="4"/>
        <v>5.32</v>
      </c>
      <c r="G223">
        <f t="shared" si="4"/>
        <v>6.46</v>
      </c>
      <c r="H223" t="s">
        <v>1799</v>
      </c>
    </row>
    <row r="224" spans="1:8" x14ac:dyDescent="0.25">
      <c r="A224" t="s">
        <v>741</v>
      </c>
      <c r="B224" t="s">
        <v>10</v>
      </c>
      <c r="C224" t="str">
        <f t="shared" si="1"/>
        <v>Clay Tiles, flat, interlocking 15" + minimum cost felt</v>
      </c>
      <c r="D224" t="s">
        <v>12</v>
      </c>
      <c r="E224">
        <f t="shared" ref="E224:G224" si="5">E213+E$204</f>
        <v>5.64</v>
      </c>
      <c r="F224">
        <f t="shared" si="5"/>
        <v>7.69</v>
      </c>
      <c r="G224">
        <f t="shared" si="5"/>
        <v>9.51</v>
      </c>
      <c r="H224" t="s">
        <v>1800</v>
      </c>
    </row>
    <row r="225" spans="1:8" x14ac:dyDescent="0.25">
      <c r="A225" t="s">
        <v>741</v>
      </c>
      <c r="B225" t="s">
        <v>10</v>
      </c>
      <c r="C225" t="str">
        <f t="shared" si="1"/>
        <v>Clay Tiles, roman pan, 18" + minimum cost felt</v>
      </c>
      <c r="D225" t="s">
        <v>12</v>
      </c>
      <c r="E225">
        <f t="shared" ref="E225:G225" si="6">E214+E$204</f>
        <v>5.24</v>
      </c>
      <c r="F225">
        <f t="shared" si="6"/>
        <v>7.4700000000000006</v>
      </c>
      <c r="G225">
        <f t="shared" si="6"/>
        <v>1.08</v>
      </c>
      <c r="H225" t="s">
        <v>1800</v>
      </c>
    </row>
    <row r="226" spans="1:8" x14ac:dyDescent="0.25">
      <c r="A226" t="s">
        <v>741</v>
      </c>
      <c r="B226" t="s">
        <v>10</v>
      </c>
      <c r="C226" t="str">
        <f t="shared" si="1"/>
        <v>Clay Tiles, barrel mission 18" + minimum cost felt</v>
      </c>
      <c r="D226" t="s">
        <v>12</v>
      </c>
      <c r="E226">
        <f t="shared" ref="E226:G226" si="7">E215+E$204</f>
        <v>4.3899999999999997</v>
      </c>
      <c r="F226">
        <f t="shared" si="7"/>
        <v>6.62</v>
      </c>
      <c r="G226">
        <f t="shared" si="7"/>
        <v>8.41</v>
      </c>
      <c r="H226" t="s">
        <v>1800</v>
      </c>
    </row>
    <row r="227" spans="1:8" x14ac:dyDescent="0.25">
      <c r="A227" t="s">
        <v>741</v>
      </c>
      <c r="B227" t="s">
        <v>10</v>
      </c>
      <c r="C227" t="str">
        <f t="shared" si="1"/>
        <v>Aluminum Roof Panels, .0115" + minimum cost felt</v>
      </c>
      <c r="D227" t="s">
        <v>12</v>
      </c>
      <c r="E227">
        <f t="shared" ref="E227:G227" si="8">E216+E$204</f>
        <v>0.83000000000000007</v>
      </c>
      <c r="F227">
        <f t="shared" si="8"/>
        <v>2.4099999999999997</v>
      </c>
      <c r="G227">
        <f t="shared" si="8"/>
        <v>3.29</v>
      </c>
      <c r="H227" t="s">
        <v>1801</v>
      </c>
    </row>
    <row r="228" spans="1:8" x14ac:dyDescent="0.25">
      <c r="A228" t="s">
        <v>741</v>
      </c>
      <c r="B228" t="s">
        <v>10</v>
      </c>
      <c r="C228" t="str">
        <f t="shared" si="1"/>
        <v>Aluminum Roof Panels, .024" + minimum cost felt</v>
      </c>
      <c r="D228" t="s">
        <v>12</v>
      </c>
      <c r="E228">
        <f t="shared" ref="E228:G228" si="9">E217+E$204</f>
        <v>1.94</v>
      </c>
      <c r="F228">
        <f t="shared" si="9"/>
        <v>3.13</v>
      </c>
      <c r="G228">
        <f t="shared" si="9"/>
        <v>3.92</v>
      </c>
      <c r="H228" t="s">
        <v>1801</v>
      </c>
    </row>
    <row r="229" spans="1:8" x14ac:dyDescent="0.25">
      <c r="A229" t="s">
        <v>741</v>
      </c>
      <c r="B229" t="s">
        <v>10</v>
      </c>
      <c r="C229" t="str">
        <f t="shared" si="1"/>
        <v>Steel roof panels, corrugated, 30 ga. + minimum cost felt</v>
      </c>
      <c r="D229" t="s">
        <v>12</v>
      </c>
      <c r="E229">
        <f t="shared" ref="E229:G229" si="10">E218+E$204</f>
        <v>1.23</v>
      </c>
      <c r="F229">
        <f t="shared" si="10"/>
        <v>2.9499999999999997</v>
      </c>
      <c r="G229">
        <f t="shared" si="10"/>
        <v>3.94</v>
      </c>
      <c r="H229" t="s">
        <v>1802</v>
      </c>
    </row>
    <row r="230" spans="1:8" x14ac:dyDescent="0.25">
      <c r="A230" t="s">
        <v>741</v>
      </c>
      <c r="B230" t="s">
        <v>10</v>
      </c>
      <c r="C230" t="str">
        <f t="shared" si="1"/>
        <v>Steel roof panels, corrugated, 26 ga. + minimum cost felt</v>
      </c>
      <c r="D230" t="s">
        <v>12</v>
      </c>
      <c r="E230">
        <f t="shared" ref="E230:G230" si="11">E219+E$204</f>
        <v>2.04</v>
      </c>
      <c r="F230">
        <f t="shared" si="11"/>
        <v>3.92</v>
      </c>
      <c r="G230">
        <f t="shared" si="11"/>
        <v>5.07</v>
      </c>
      <c r="H230" t="s">
        <v>1802</v>
      </c>
    </row>
    <row r="231" spans="1:8" x14ac:dyDescent="0.25">
      <c r="A231" t="s">
        <v>741</v>
      </c>
      <c r="B231" t="s">
        <v>10</v>
      </c>
      <c r="C231" t="str">
        <f>_xlfn.CONCAT(C209, " + maximum cost felt")</f>
        <v>Asphalt Singles, standard strip, 25 year, pneumatic nailed + maximum cost felt</v>
      </c>
      <c r="D231" t="s">
        <v>12</v>
      </c>
      <c r="E231">
        <f>E209+E$208</f>
        <v>1.24</v>
      </c>
      <c r="F231">
        <f t="shared" ref="F231:G231" si="12">F209+F$208</f>
        <v>1.86</v>
      </c>
      <c r="G231">
        <f t="shared" si="12"/>
        <v>2.39</v>
      </c>
      <c r="H231" t="s">
        <v>1799</v>
      </c>
    </row>
    <row r="232" spans="1:8" x14ac:dyDescent="0.25">
      <c r="A232" t="s">
        <v>741</v>
      </c>
      <c r="B232" t="s">
        <v>10</v>
      </c>
      <c r="C232" t="str">
        <f t="shared" ref="C232:C241" si="13">_xlfn.CONCAT(C210, " + maximum cost felt")</f>
        <v>Asphalt Singles, standard strip, 30 year, pneumatic nailed + maximum cost felt</v>
      </c>
      <c r="D232" t="s">
        <v>12</v>
      </c>
      <c r="E232">
        <f t="shared" ref="E232:G232" si="14">E210+E$208</f>
        <v>1.54</v>
      </c>
      <c r="F232">
        <f t="shared" si="14"/>
        <v>2.2399999999999998</v>
      </c>
      <c r="G232">
        <f t="shared" si="14"/>
        <v>2.83</v>
      </c>
      <c r="H232" t="s">
        <v>1799</v>
      </c>
    </row>
    <row r="233" spans="1:8" x14ac:dyDescent="0.25">
      <c r="A233" t="s">
        <v>741</v>
      </c>
      <c r="B233" t="s">
        <v>10</v>
      </c>
      <c r="C233" t="str">
        <f t="shared" si="13"/>
        <v>Asphalt Shingles, Premium, laminated multi-layer, 260-300lb/sq, pneumatic nailed + maximum cost felt</v>
      </c>
      <c r="D233" t="s">
        <v>12</v>
      </c>
      <c r="E233">
        <f t="shared" ref="E233:G233" si="15">E211+E$208</f>
        <v>1.8800000000000001</v>
      </c>
      <c r="F233">
        <f t="shared" si="15"/>
        <v>2.8499999999999996</v>
      </c>
      <c r="G233">
        <f t="shared" si="15"/>
        <v>3.66</v>
      </c>
      <c r="H233" t="s">
        <v>1799</v>
      </c>
    </row>
    <row r="234" spans="1:8" x14ac:dyDescent="0.25">
      <c r="A234" t="s">
        <v>741</v>
      </c>
      <c r="B234" t="s">
        <v>10</v>
      </c>
      <c r="C234" t="str">
        <f t="shared" si="13"/>
        <v>Asphalt Shingles, Premium, laminated multi-layer, 300-385lb/sq, pneumatic nailed + maximum cost felt</v>
      </c>
      <c r="D234" t="s">
        <v>12</v>
      </c>
      <c r="E234">
        <f t="shared" ref="E234:G234" si="16">E212+E$208</f>
        <v>4.4300000000000006</v>
      </c>
      <c r="F234">
        <f t="shared" si="16"/>
        <v>5.55</v>
      </c>
      <c r="G234">
        <f t="shared" si="16"/>
        <v>6.71</v>
      </c>
      <c r="H234" t="s">
        <v>1799</v>
      </c>
    </row>
    <row r="235" spans="1:8" x14ac:dyDescent="0.25">
      <c r="A235" t="s">
        <v>741</v>
      </c>
      <c r="B235" t="s">
        <v>10</v>
      </c>
      <c r="C235" t="str">
        <f t="shared" si="13"/>
        <v>Clay Tiles, flat, interlocking 15" + maximum cost felt</v>
      </c>
      <c r="D235" t="s">
        <v>12</v>
      </c>
      <c r="E235">
        <f t="shared" ref="E235:G235" si="17">E213+E$208</f>
        <v>5.88</v>
      </c>
      <c r="F235">
        <f t="shared" si="17"/>
        <v>7.92</v>
      </c>
      <c r="G235">
        <f t="shared" si="17"/>
        <v>9.76</v>
      </c>
      <c r="H235" t="s">
        <v>1800</v>
      </c>
    </row>
    <row r="236" spans="1:8" x14ac:dyDescent="0.25">
      <c r="A236" t="s">
        <v>741</v>
      </c>
      <c r="B236" t="s">
        <v>10</v>
      </c>
      <c r="C236" t="str">
        <f t="shared" si="13"/>
        <v>Clay Tiles, roman pan, 18" + maximum cost felt</v>
      </c>
      <c r="D236" t="s">
        <v>12</v>
      </c>
      <c r="E236">
        <f t="shared" ref="E236:G236" si="18">E214+E$208</f>
        <v>5.48</v>
      </c>
      <c r="F236">
        <f t="shared" si="18"/>
        <v>7.7</v>
      </c>
      <c r="G236">
        <f t="shared" si="18"/>
        <v>1.33</v>
      </c>
      <c r="H236" t="s">
        <v>1800</v>
      </c>
    </row>
    <row r="237" spans="1:8" x14ac:dyDescent="0.25">
      <c r="A237" t="s">
        <v>741</v>
      </c>
      <c r="B237" t="s">
        <v>10</v>
      </c>
      <c r="C237" t="str">
        <f t="shared" si="13"/>
        <v>Clay Tiles, barrel mission 18" + maximum cost felt</v>
      </c>
      <c r="D237" t="s">
        <v>12</v>
      </c>
      <c r="E237">
        <f t="shared" ref="E237:G237" si="19">E215+E$208</f>
        <v>4.63</v>
      </c>
      <c r="F237">
        <f t="shared" si="19"/>
        <v>6.85</v>
      </c>
      <c r="G237">
        <f t="shared" si="19"/>
        <v>8.66</v>
      </c>
      <c r="H237" t="s">
        <v>1800</v>
      </c>
    </row>
    <row r="238" spans="1:8" x14ac:dyDescent="0.25">
      <c r="A238" t="s">
        <v>741</v>
      </c>
      <c r="B238" t="s">
        <v>10</v>
      </c>
      <c r="C238" t="str">
        <f t="shared" si="13"/>
        <v>Aluminum Roof Panels, .0115" + maximum cost felt</v>
      </c>
      <c r="D238" t="s">
        <v>12</v>
      </c>
      <c r="E238">
        <f t="shared" ref="E238:G238" si="20">E216+E$208</f>
        <v>1.07</v>
      </c>
      <c r="F238">
        <f t="shared" si="20"/>
        <v>2.6399999999999997</v>
      </c>
      <c r="G238">
        <f t="shared" si="20"/>
        <v>3.54</v>
      </c>
      <c r="H238" t="s">
        <v>1801</v>
      </c>
    </row>
    <row r="239" spans="1:8" x14ac:dyDescent="0.25">
      <c r="A239" t="s">
        <v>741</v>
      </c>
      <c r="B239" t="s">
        <v>10</v>
      </c>
      <c r="C239" t="str">
        <f t="shared" si="13"/>
        <v>Aluminum Roof Panels, .024" + maximum cost felt</v>
      </c>
      <c r="D239" t="s">
        <v>12</v>
      </c>
      <c r="E239">
        <f t="shared" ref="E239:G239" si="21">E217+E$208</f>
        <v>2.1799999999999997</v>
      </c>
      <c r="F239">
        <f t="shared" si="21"/>
        <v>3.36</v>
      </c>
      <c r="G239">
        <f t="shared" si="21"/>
        <v>4.17</v>
      </c>
      <c r="H239" t="s">
        <v>1801</v>
      </c>
    </row>
    <row r="240" spans="1:8" x14ac:dyDescent="0.25">
      <c r="A240" t="s">
        <v>741</v>
      </c>
      <c r="B240" t="s">
        <v>10</v>
      </c>
      <c r="C240" t="str">
        <f t="shared" si="13"/>
        <v>Steel roof panels, corrugated, 30 ga. + maximum cost felt</v>
      </c>
      <c r="D240" t="s">
        <v>12</v>
      </c>
      <c r="E240">
        <f t="shared" ref="E240:G240" si="22">E218+E$208</f>
        <v>1.47</v>
      </c>
      <c r="F240">
        <f t="shared" si="22"/>
        <v>3.1799999999999997</v>
      </c>
      <c r="G240">
        <f t="shared" si="22"/>
        <v>4.1899999999999995</v>
      </c>
      <c r="H240" t="s">
        <v>1802</v>
      </c>
    </row>
    <row r="241" spans="1:8" x14ac:dyDescent="0.25">
      <c r="A241" t="s">
        <v>741</v>
      </c>
      <c r="B241" t="s">
        <v>10</v>
      </c>
      <c r="C241" t="str">
        <f t="shared" si="13"/>
        <v>Steel roof panels, corrugated, 26 ga. + maximum cost felt</v>
      </c>
      <c r="D241" t="s">
        <v>12</v>
      </c>
      <c r="E241">
        <f t="shared" ref="E241:G241" si="23">E219+E$208</f>
        <v>2.2800000000000002</v>
      </c>
      <c r="F241">
        <f t="shared" si="23"/>
        <v>4.1500000000000004</v>
      </c>
      <c r="G241">
        <f t="shared" si="23"/>
        <v>5.32</v>
      </c>
      <c r="H241" t="s">
        <v>1802</v>
      </c>
    </row>
    <row r="242" spans="1:8" x14ac:dyDescent="0.25">
      <c r="A242" t="s">
        <v>750</v>
      </c>
      <c r="B242" t="s">
        <v>10</v>
      </c>
      <c r="C242" t="s">
        <v>751</v>
      </c>
      <c r="D242" t="s">
        <v>12</v>
      </c>
      <c r="E242" t="s">
        <v>752</v>
      </c>
      <c r="F242" t="s">
        <v>753</v>
      </c>
      <c r="G242" t="s">
        <v>754</v>
      </c>
      <c r="H242" t="s">
        <v>755</v>
      </c>
    </row>
    <row r="243" spans="1:8" x14ac:dyDescent="0.25">
      <c r="A243" t="s">
        <v>750</v>
      </c>
      <c r="B243" t="s">
        <v>10</v>
      </c>
      <c r="C243" t="s">
        <v>756</v>
      </c>
      <c r="D243" t="s">
        <v>12</v>
      </c>
      <c r="E243" t="s">
        <v>752</v>
      </c>
      <c r="F243" t="s">
        <v>757</v>
      </c>
      <c r="G243" t="s">
        <v>758</v>
      </c>
      <c r="H243" t="s">
        <v>755</v>
      </c>
    </row>
    <row r="244" spans="1:8" x14ac:dyDescent="0.25">
      <c r="A244" t="s">
        <v>750</v>
      </c>
      <c r="B244" t="s">
        <v>10</v>
      </c>
      <c r="C244" t="s">
        <v>759</v>
      </c>
      <c r="D244" t="s">
        <v>12</v>
      </c>
      <c r="E244" t="s">
        <v>514</v>
      </c>
      <c r="F244" t="s">
        <v>760</v>
      </c>
      <c r="G244" t="s">
        <v>761</v>
      </c>
      <c r="H244" t="s">
        <v>755</v>
      </c>
    </row>
    <row r="245" spans="1:8" x14ac:dyDescent="0.25">
      <c r="A245" t="s">
        <v>750</v>
      </c>
      <c r="B245" t="s">
        <v>10</v>
      </c>
      <c r="C245" t="s">
        <v>762</v>
      </c>
      <c r="D245" t="s">
        <v>12</v>
      </c>
      <c r="E245" t="s">
        <v>498</v>
      </c>
      <c r="F245" t="s">
        <v>763</v>
      </c>
      <c r="G245" t="s">
        <v>764</v>
      </c>
      <c r="H245" t="s">
        <v>755</v>
      </c>
    </row>
    <row r="246" spans="1:8" x14ac:dyDescent="0.25">
      <c r="A246" t="s">
        <v>750</v>
      </c>
      <c r="B246" t="s">
        <v>10</v>
      </c>
      <c r="C246" t="s">
        <v>765</v>
      </c>
      <c r="D246" t="s">
        <v>12</v>
      </c>
      <c r="E246" t="s">
        <v>766</v>
      </c>
      <c r="F246" t="s">
        <v>518</v>
      </c>
      <c r="G246" t="s">
        <v>210</v>
      </c>
      <c r="H246" t="s">
        <v>755</v>
      </c>
    </row>
    <row r="247" spans="1:8" x14ac:dyDescent="0.25">
      <c r="A247" t="s">
        <v>750</v>
      </c>
      <c r="B247" t="s">
        <v>10</v>
      </c>
      <c r="C247" t="s">
        <v>767</v>
      </c>
      <c r="D247" t="s">
        <v>12</v>
      </c>
      <c r="E247" t="s">
        <v>170</v>
      </c>
      <c r="F247" t="s">
        <v>758</v>
      </c>
      <c r="G247" t="s">
        <v>768</v>
      </c>
      <c r="H247" t="s">
        <v>755</v>
      </c>
    </row>
    <row r="248" spans="1:8" x14ac:dyDescent="0.25">
      <c r="A248" t="s">
        <v>750</v>
      </c>
      <c r="B248" t="s">
        <v>10</v>
      </c>
      <c r="C248" t="s">
        <v>769</v>
      </c>
      <c r="D248" t="s">
        <v>12</v>
      </c>
      <c r="E248" t="s">
        <v>174</v>
      </c>
      <c r="F248" t="s">
        <v>770</v>
      </c>
      <c r="G248" t="s">
        <v>771</v>
      </c>
      <c r="H248" t="s">
        <v>755</v>
      </c>
    </row>
    <row r="249" spans="1:8" x14ac:dyDescent="0.25">
      <c r="A249" t="s">
        <v>750</v>
      </c>
      <c r="B249" t="s">
        <v>10</v>
      </c>
      <c r="C249" t="s">
        <v>772</v>
      </c>
      <c r="D249" t="s">
        <v>12</v>
      </c>
      <c r="E249" t="s">
        <v>63</v>
      </c>
      <c r="F249" t="s">
        <v>171</v>
      </c>
      <c r="G249" t="s">
        <v>773</v>
      </c>
      <c r="H249" t="s">
        <v>755</v>
      </c>
    </row>
    <row r="250" spans="1:8" x14ac:dyDescent="0.25">
      <c r="A250" t="s">
        <v>774</v>
      </c>
      <c r="B250" t="s">
        <v>10</v>
      </c>
      <c r="C250" t="s">
        <v>775</v>
      </c>
      <c r="D250" t="s">
        <v>12</v>
      </c>
      <c r="E250">
        <v>0</v>
      </c>
      <c r="F250">
        <v>0</v>
      </c>
      <c r="G250" s="1">
        <v>0</v>
      </c>
      <c r="H250" t="s">
        <v>776</v>
      </c>
    </row>
    <row r="251" spans="1:8" x14ac:dyDescent="0.25">
      <c r="A251" t="s">
        <v>774</v>
      </c>
      <c r="B251" t="s">
        <v>10</v>
      </c>
      <c r="C251" t="s">
        <v>777</v>
      </c>
      <c r="D251" t="s">
        <v>12</v>
      </c>
      <c r="E251">
        <v>0</v>
      </c>
      <c r="F251">
        <v>0</v>
      </c>
      <c r="G251" s="1">
        <v>0</v>
      </c>
      <c r="H251" t="s">
        <v>776</v>
      </c>
    </row>
    <row r="252" spans="1:8" x14ac:dyDescent="0.25">
      <c r="A252" t="s">
        <v>774</v>
      </c>
      <c r="B252" t="s">
        <v>10</v>
      </c>
      <c r="C252" t="s">
        <v>778</v>
      </c>
      <c r="D252" t="s">
        <v>12</v>
      </c>
      <c r="E252">
        <v>0</v>
      </c>
      <c r="F252">
        <v>0</v>
      </c>
      <c r="G252" s="1">
        <v>0</v>
      </c>
      <c r="H252" t="s">
        <v>776</v>
      </c>
    </row>
    <row r="253" spans="1:8" x14ac:dyDescent="0.25">
      <c r="A253" t="s">
        <v>774</v>
      </c>
      <c r="B253" t="s">
        <v>10</v>
      </c>
      <c r="C253" t="s">
        <v>779</v>
      </c>
      <c r="D253" t="s">
        <v>12</v>
      </c>
      <c r="E253">
        <v>0</v>
      </c>
      <c r="F253">
        <v>0</v>
      </c>
      <c r="G253" s="1">
        <v>0</v>
      </c>
      <c r="H253" t="s">
        <v>780</v>
      </c>
    </row>
    <row r="254" spans="1:8" x14ac:dyDescent="0.25">
      <c r="A254" t="s">
        <v>774</v>
      </c>
      <c r="B254" t="s">
        <v>10</v>
      </c>
      <c r="C254" t="s">
        <v>781</v>
      </c>
      <c r="D254" t="s">
        <v>12</v>
      </c>
      <c r="E254">
        <v>0</v>
      </c>
      <c r="F254">
        <v>0</v>
      </c>
      <c r="G254" s="1">
        <v>0</v>
      </c>
      <c r="H254" t="s">
        <v>780</v>
      </c>
    </row>
    <row r="255" spans="1:8" x14ac:dyDescent="0.25">
      <c r="A255" t="s">
        <v>774</v>
      </c>
      <c r="B255" t="s">
        <v>10</v>
      </c>
      <c r="C255" t="s">
        <v>782</v>
      </c>
      <c r="D255" t="s">
        <v>12</v>
      </c>
      <c r="E255">
        <v>0</v>
      </c>
      <c r="F255">
        <v>0</v>
      </c>
      <c r="G255" s="1">
        <v>0</v>
      </c>
      <c r="H255" t="s">
        <v>783</v>
      </c>
    </row>
    <row r="256" spans="1:8" x14ac:dyDescent="0.25">
      <c r="A256" t="s">
        <v>774</v>
      </c>
      <c r="B256" t="s">
        <v>10</v>
      </c>
      <c r="C256" t="s">
        <v>784</v>
      </c>
      <c r="D256" t="s">
        <v>12</v>
      </c>
      <c r="E256">
        <v>0</v>
      </c>
      <c r="F256">
        <v>0</v>
      </c>
      <c r="G256" s="1">
        <v>0</v>
      </c>
      <c r="H256" t="s">
        <v>783</v>
      </c>
    </row>
    <row r="257" spans="1:8" x14ac:dyDescent="0.25">
      <c r="A257" t="s">
        <v>774</v>
      </c>
      <c r="B257" t="s">
        <v>10</v>
      </c>
      <c r="C257" t="s">
        <v>785</v>
      </c>
      <c r="D257" t="s">
        <v>12</v>
      </c>
      <c r="E257" t="s">
        <v>201</v>
      </c>
      <c r="F257" t="s">
        <v>786</v>
      </c>
      <c r="G257" s="1">
        <v>3.44</v>
      </c>
      <c r="H257" t="s">
        <v>787</v>
      </c>
    </row>
    <row r="258" spans="1:8" x14ac:dyDescent="0.25">
      <c r="A258" t="s">
        <v>774</v>
      </c>
      <c r="B258" t="s">
        <v>10</v>
      </c>
      <c r="C258" t="s">
        <v>788</v>
      </c>
      <c r="D258" t="s">
        <v>12</v>
      </c>
      <c r="E258" t="s">
        <v>705</v>
      </c>
      <c r="F258" t="s">
        <v>789</v>
      </c>
      <c r="G258" s="1">
        <v>4.0999999999999996</v>
      </c>
      <c r="H258" t="s">
        <v>787</v>
      </c>
    </row>
    <row r="259" spans="1:8" x14ac:dyDescent="0.25">
      <c r="A259" t="s">
        <v>774</v>
      </c>
      <c r="B259" t="s">
        <v>10</v>
      </c>
      <c r="C259" t="s">
        <v>790</v>
      </c>
      <c r="D259" t="s">
        <v>12</v>
      </c>
      <c r="E259" t="s">
        <v>791</v>
      </c>
      <c r="F259" t="s">
        <v>792</v>
      </c>
      <c r="G259" s="1">
        <v>4.9400000000000004</v>
      </c>
      <c r="H259" t="s">
        <v>787</v>
      </c>
    </row>
    <row r="260" spans="1:8" x14ac:dyDescent="0.25">
      <c r="A260" t="s">
        <v>774</v>
      </c>
      <c r="B260" t="s">
        <v>10</v>
      </c>
      <c r="C260" t="s">
        <v>793</v>
      </c>
      <c r="D260" t="s">
        <v>12</v>
      </c>
      <c r="E260">
        <v>0</v>
      </c>
      <c r="F260">
        <v>0</v>
      </c>
      <c r="G260" s="1">
        <v>0</v>
      </c>
      <c r="H260" t="s">
        <v>794</v>
      </c>
    </row>
    <row r="261" spans="1:8" x14ac:dyDescent="0.25">
      <c r="A261" t="s">
        <v>774</v>
      </c>
      <c r="B261" t="s">
        <v>10</v>
      </c>
      <c r="C261" t="s">
        <v>795</v>
      </c>
      <c r="D261" t="s">
        <v>12</v>
      </c>
      <c r="E261">
        <v>0</v>
      </c>
      <c r="F261">
        <v>0</v>
      </c>
      <c r="G261" s="1">
        <v>0</v>
      </c>
      <c r="H261" t="s">
        <v>794</v>
      </c>
    </row>
    <row r="262" spans="1:8" x14ac:dyDescent="0.25">
      <c r="A262" t="s">
        <v>774</v>
      </c>
      <c r="B262" t="s">
        <v>10</v>
      </c>
      <c r="C262" t="s">
        <v>796</v>
      </c>
      <c r="D262" t="s">
        <v>12</v>
      </c>
      <c r="E262">
        <v>0</v>
      </c>
      <c r="F262">
        <v>0</v>
      </c>
      <c r="G262" s="1">
        <v>0</v>
      </c>
      <c r="H262" t="s">
        <v>794</v>
      </c>
    </row>
    <row r="263" spans="1:8" x14ac:dyDescent="0.25">
      <c r="A263" t="s">
        <v>774</v>
      </c>
      <c r="B263" t="s">
        <v>10</v>
      </c>
      <c r="C263" t="s">
        <v>797</v>
      </c>
      <c r="D263" t="s">
        <v>12</v>
      </c>
      <c r="E263" t="s">
        <v>798</v>
      </c>
      <c r="F263" t="s">
        <v>799</v>
      </c>
      <c r="G263" s="1">
        <v>7.3</v>
      </c>
      <c r="H263" t="s">
        <v>800</v>
      </c>
    </row>
    <row r="264" spans="1:8" x14ac:dyDescent="0.25">
      <c r="A264" t="s">
        <v>774</v>
      </c>
      <c r="B264" t="s">
        <v>10</v>
      </c>
      <c r="C264" t="s">
        <v>801</v>
      </c>
      <c r="D264" t="s">
        <v>12</v>
      </c>
      <c r="E264" t="s">
        <v>640</v>
      </c>
      <c r="F264" t="s">
        <v>802</v>
      </c>
      <c r="G264" s="1">
        <v>10.65</v>
      </c>
      <c r="H264" t="s">
        <v>800</v>
      </c>
    </row>
    <row r="265" spans="1:8" x14ac:dyDescent="0.25">
      <c r="A265" t="s">
        <v>774</v>
      </c>
      <c r="B265" t="s">
        <v>10</v>
      </c>
      <c r="C265" t="s">
        <v>803</v>
      </c>
      <c r="D265" t="s">
        <v>12</v>
      </c>
      <c r="E265" t="s">
        <v>273</v>
      </c>
      <c r="F265" t="s">
        <v>804</v>
      </c>
      <c r="G265" s="1">
        <v>13.1</v>
      </c>
      <c r="H265" t="s">
        <v>800</v>
      </c>
    </row>
    <row r="266" spans="1:8" x14ac:dyDescent="0.25">
      <c r="A266" t="s">
        <v>774</v>
      </c>
      <c r="B266" t="s">
        <v>10</v>
      </c>
      <c r="C266" t="s">
        <v>805</v>
      </c>
      <c r="D266" t="s">
        <v>12</v>
      </c>
      <c r="E266" t="s">
        <v>806</v>
      </c>
      <c r="F266" t="s">
        <v>807</v>
      </c>
      <c r="G266" s="1">
        <v>7.15</v>
      </c>
      <c r="H266" t="s">
        <v>800</v>
      </c>
    </row>
    <row r="267" spans="1:8" x14ac:dyDescent="0.25">
      <c r="A267" t="s">
        <v>774</v>
      </c>
      <c r="B267" t="s">
        <v>10</v>
      </c>
      <c r="C267" t="s">
        <v>808</v>
      </c>
      <c r="D267" t="s">
        <v>12</v>
      </c>
      <c r="E267" t="s">
        <v>246</v>
      </c>
      <c r="F267" t="s">
        <v>198</v>
      </c>
      <c r="G267" s="1">
        <v>1.27</v>
      </c>
      <c r="H267" t="s">
        <v>809</v>
      </c>
    </row>
    <row r="268" spans="1:8" x14ac:dyDescent="0.25">
      <c r="A268" t="s">
        <v>774</v>
      </c>
      <c r="B268" t="s">
        <v>10</v>
      </c>
      <c r="C268" t="s">
        <v>810</v>
      </c>
      <c r="D268" t="s">
        <v>12</v>
      </c>
      <c r="E268">
        <v>0</v>
      </c>
      <c r="F268">
        <v>0</v>
      </c>
      <c r="G268" s="1">
        <v>0</v>
      </c>
      <c r="H268" t="s">
        <v>811</v>
      </c>
    </row>
    <row r="269" spans="1:8" x14ac:dyDescent="0.25">
      <c r="A269" t="s">
        <v>774</v>
      </c>
      <c r="B269" t="s">
        <v>10</v>
      </c>
      <c r="C269" t="s">
        <v>812</v>
      </c>
      <c r="D269" t="s">
        <v>12</v>
      </c>
      <c r="E269">
        <v>0</v>
      </c>
      <c r="F269">
        <v>0</v>
      </c>
      <c r="G269" s="1">
        <v>0</v>
      </c>
      <c r="H269" t="s">
        <v>811</v>
      </c>
    </row>
    <row r="270" spans="1:8" x14ac:dyDescent="0.25">
      <c r="A270" t="s">
        <v>774</v>
      </c>
      <c r="B270" t="s">
        <v>10</v>
      </c>
      <c r="C270" t="s">
        <v>813</v>
      </c>
      <c r="D270" t="s">
        <v>12</v>
      </c>
      <c r="E270">
        <v>0</v>
      </c>
      <c r="F270">
        <v>0</v>
      </c>
      <c r="G270" s="1">
        <v>0</v>
      </c>
      <c r="H270" t="s">
        <v>811</v>
      </c>
    </row>
    <row r="271" spans="1:8" x14ac:dyDescent="0.25">
      <c r="A271" t="s">
        <v>774</v>
      </c>
      <c r="B271" t="s">
        <v>10</v>
      </c>
      <c r="C271" t="s">
        <v>814</v>
      </c>
      <c r="D271" t="s">
        <v>12</v>
      </c>
      <c r="E271">
        <v>0</v>
      </c>
      <c r="F271">
        <v>0</v>
      </c>
      <c r="G271" s="1">
        <v>0</v>
      </c>
      <c r="H271" t="s">
        <v>815</v>
      </c>
    </row>
    <row r="272" spans="1:8" x14ac:dyDescent="0.25">
      <c r="A272" t="s">
        <v>774</v>
      </c>
      <c r="B272" t="s">
        <v>10</v>
      </c>
      <c r="C272" t="s">
        <v>816</v>
      </c>
      <c r="D272" t="s">
        <v>12</v>
      </c>
      <c r="E272">
        <v>0</v>
      </c>
      <c r="F272">
        <v>0</v>
      </c>
      <c r="G272" s="1">
        <v>0</v>
      </c>
      <c r="H272" t="s">
        <v>815</v>
      </c>
    </row>
    <row r="273" spans="1:8" x14ac:dyDescent="0.25">
      <c r="A273" t="s">
        <v>774</v>
      </c>
      <c r="B273" t="s">
        <v>10</v>
      </c>
      <c r="C273" t="s">
        <v>817</v>
      </c>
      <c r="D273" t="s">
        <v>12</v>
      </c>
      <c r="E273">
        <v>0</v>
      </c>
      <c r="F273">
        <v>0</v>
      </c>
      <c r="G273" s="1">
        <v>0</v>
      </c>
      <c r="H273" t="s">
        <v>815</v>
      </c>
    </row>
    <row r="274" spans="1:8" x14ac:dyDescent="0.25">
      <c r="A274" t="s">
        <v>818</v>
      </c>
      <c r="B274" t="s">
        <v>10</v>
      </c>
      <c r="C274" t="s">
        <v>765</v>
      </c>
      <c r="D274" t="s">
        <v>12</v>
      </c>
      <c r="E274" t="s">
        <v>766</v>
      </c>
      <c r="F274" t="s">
        <v>758</v>
      </c>
      <c r="G274" t="s">
        <v>819</v>
      </c>
      <c r="H274" t="s">
        <v>755</v>
      </c>
    </row>
    <row r="275" spans="1:8" x14ac:dyDescent="0.25">
      <c r="A275" t="s">
        <v>818</v>
      </c>
      <c r="B275" t="s">
        <v>10</v>
      </c>
      <c r="C275" t="s">
        <v>767</v>
      </c>
      <c r="D275" t="s">
        <v>12</v>
      </c>
      <c r="E275" t="s">
        <v>170</v>
      </c>
      <c r="F275" t="s">
        <v>820</v>
      </c>
      <c r="G275" t="s">
        <v>821</v>
      </c>
      <c r="H275" t="s">
        <v>755</v>
      </c>
    </row>
    <row r="276" spans="1:8" x14ac:dyDescent="0.25">
      <c r="A276" t="s">
        <v>818</v>
      </c>
      <c r="B276" t="s">
        <v>10</v>
      </c>
      <c r="C276" t="s">
        <v>769</v>
      </c>
      <c r="D276" t="s">
        <v>12</v>
      </c>
      <c r="E276" t="s">
        <v>174</v>
      </c>
      <c r="F276" t="s">
        <v>822</v>
      </c>
      <c r="G276" t="s">
        <v>823</v>
      </c>
      <c r="H276" t="s">
        <v>755</v>
      </c>
    </row>
    <row r="277" spans="1:8" x14ac:dyDescent="0.25">
      <c r="A277" t="s">
        <v>818</v>
      </c>
      <c r="B277" t="s">
        <v>10</v>
      </c>
      <c r="C277" t="s">
        <v>772</v>
      </c>
      <c r="D277" t="s">
        <v>12</v>
      </c>
      <c r="E277" t="s">
        <v>63</v>
      </c>
      <c r="F277" t="s">
        <v>764</v>
      </c>
      <c r="G277" t="s">
        <v>824</v>
      </c>
      <c r="H277" t="s">
        <v>755</v>
      </c>
    </row>
    <row r="278" spans="1:8" x14ac:dyDescent="0.25">
      <c r="A278" t="s">
        <v>818</v>
      </c>
      <c r="B278" t="s">
        <v>10</v>
      </c>
      <c r="C278" t="s">
        <v>751</v>
      </c>
      <c r="D278" t="s">
        <v>12</v>
      </c>
      <c r="E278" t="s">
        <v>752</v>
      </c>
      <c r="F278" t="s">
        <v>825</v>
      </c>
      <c r="G278" t="s">
        <v>826</v>
      </c>
      <c r="H278" t="s">
        <v>755</v>
      </c>
    </row>
    <row r="279" spans="1:8" x14ac:dyDescent="0.25">
      <c r="A279" t="s">
        <v>818</v>
      </c>
      <c r="B279" t="s">
        <v>10</v>
      </c>
      <c r="C279" t="s">
        <v>756</v>
      </c>
      <c r="D279" t="s">
        <v>12</v>
      </c>
      <c r="E279" t="s">
        <v>752</v>
      </c>
      <c r="F279" t="s">
        <v>827</v>
      </c>
      <c r="G279" t="s">
        <v>828</v>
      </c>
      <c r="H279" t="s">
        <v>755</v>
      </c>
    </row>
    <row r="280" spans="1:8" x14ac:dyDescent="0.25">
      <c r="A280" t="s">
        <v>818</v>
      </c>
      <c r="B280" t="s">
        <v>10</v>
      </c>
      <c r="C280" t="s">
        <v>759</v>
      </c>
      <c r="D280" t="s">
        <v>12</v>
      </c>
      <c r="E280" t="s">
        <v>514</v>
      </c>
      <c r="F280" t="s">
        <v>829</v>
      </c>
      <c r="G280" t="s">
        <v>279</v>
      </c>
      <c r="H280" t="s">
        <v>755</v>
      </c>
    </row>
    <row r="281" spans="1:8" x14ac:dyDescent="0.25">
      <c r="A281" t="s">
        <v>830</v>
      </c>
      <c r="B281" t="s">
        <v>831</v>
      </c>
    </row>
    <row r="282" spans="1:8" x14ac:dyDescent="0.25">
      <c r="A282" t="s">
        <v>832</v>
      </c>
      <c r="B282" t="s">
        <v>831</v>
      </c>
    </row>
    <row r="283" spans="1:8" x14ac:dyDescent="0.25">
      <c r="A283" t="s">
        <v>833</v>
      </c>
      <c r="B283" t="s">
        <v>831</v>
      </c>
    </row>
    <row r="284" spans="1:8" x14ac:dyDescent="0.25">
      <c r="A284" t="s">
        <v>834</v>
      </c>
      <c r="B284" t="s">
        <v>831</v>
      </c>
    </row>
    <row r="285" spans="1:8" x14ac:dyDescent="0.25">
      <c r="A285" t="s">
        <v>835</v>
      </c>
      <c r="B285" t="s">
        <v>831</v>
      </c>
    </row>
    <row r="286" spans="1:8" x14ac:dyDescent="0.25">
      <c r="A286" t="s">
        <v>836</v>
      </c>
      <c r="B286" t="s">
        <v>831</v>
      </c>
    </row>
    <row r="287" spans="1:8" x14ac:dyDescent="0.25">
      <c r="A287" t="s">
        <v>837</v>
      </c>
      <c r="B287" t="s">
        <v>831</v>
      </c>
    </row>
    <row r="288" spans="1:8" x14ac:dyDescent="0.25">
      <c r="A288" t="s">
        <v>838</v>
      </c>
      <c r="B288" t="s">
        <v>831</v>
      </c>
    </row>
    <row r="289" spans="1:2" x14ac:dyDescent="0.25">
      <c r="A289" t="s">
        <v>839</v>
      </c>
      <c r="B289" t="s">
        <v>831</v>
      </c>
    </row>
    <row r="290" spans="1:2" x14ac:dyDescent="0.25">
      <c r="A290" t="s">
        <v>840</v>
      </c>
      <c r="B290" t="s">
        <v>831</v>
      </c>
    </row>
    <row r="291" spans="1:2" x14ac:dyDescent="0.25">
      <c r="A291" t="s">
        <v>841</v>
      </c>
      <c r="B291" t="s">
        <v>831</v>
      </c>
    </row>
    <row r="292" spans="1:2" x14ac:dyDescent="0.25">
      <c r="A292" t="s">
        <v>842</v>
      </c>
      <c r="B292" t="s">
        <v>831</v>
      </c>
    </row>
    <row r="293" spans="1:2" x14ac:dyDescent="0.25">
      <c r="A293" t="s">
        <v>843</v>
      </c>
      <c r="B293" t="s">
        <v>831</v>
      </c>
    </row>
    <row r="294" spans="1:2" x14ac:dyDescent="0.25">
      <c r="A294" t="s">
        <v>844</v>
      </c>
      <c r="B294" t="s">
        <v>831</v>
      </c>
    </row>
    <row r="295" spans="1:2" x14ac:dyDescent="0.25">
      <c r="A295" t="s">
        <v>845</v>
      </c>
      <c r="B295" t="s">
        <v>831</v>
      </c>
    </row>
    <row r="296" spans="1:2" x14ac:dyDescent="0.25">
      <c r="A296" t="s">
        <v>846</v>
      </c>
      <c r="B296" t="s">
        <v>831</v>
      </c>
    </row>
    <row r="297" spans="1:2" x14ac:dyDescent="0.25">
      <c r="A297" t="s">
        <v>847</v>
      </c>
      <c r="B297" t="s">
        <v>831</v>
      </c>
    </row>
    <row r="298" spans="1:2" x14ac:dyDescent="0.25">
      <c r="A298" t="s">
        <v>848</v>
      </c>
      <c r="B298" t="s">
        <v>831</v>
      </c>
    </row>
    <row r="299" spans="1:2" x14ac:dyDescent="0.25">
      <c r="A299" t="s">
        <v>849</v>
      </c>
      <c r="B299" t="s">
        <v>831</v>
      </c>
    </row>
    <row r="300" spans="1:2" x14ac:dyDescent="0.25">
      <c r="A300" t="s">
        <v>850</v>
      </c>
      <c r="B300" t="s">
        <v>831</v>
      </c>
    </row>
    <row r="301" spans="1:2" x14ac:dyDescent="0.25">
      <c r="A301" t="s">
        <v>851</v>
      </c>
      <c r="B301" t="s">
        <v>831</v>
      </c>
    </row>
    <row r="302" spans="1:2" x14ac:dyDescent="0.25">
      <c r="A302" t="s">
        <v>852</v>
      </c>
      <c r="B302" t="s">
        <v>831</v>
      </c>
    </row>
    <row r="303" spans="1:2" x14ac:dyDescent="0.25">
      <c r="A303" t="s">
        <v>853</v>
      </c>
      <c r="B303" t="s">
        <v>831</v>
      </c>
    </row>
    <row r="304" spans="1:2" x14ac:dyDescent="0.25">
      <c r="A304" t="s">
        <v>854</v>
      </c>
      <c r="B304" t="s">
        <v>831</v>
      </c>
    </row>
  </sheetData>
  <autoFilter ref="A1:I304" xr:uid="{00000000-0001-0000-0A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B3923-9D95-405B-A0EC-4AC4B020387B}">
  <dimension ref="A1:M195"/>
  <sheetViews>
    <sheetView showOutlineSymbols="0" workbookViewId="0">
      <pane ySplit="1" topLeftCell="A14" activePane="bottomLeft" state="frozen"/>
      <selection pane="bottomLeft" activeCell="C26" sqref="C26:C28"/>
    </sheetView>
  </sheetViews>
  <sheetFormatPr defaultColWidth="8.875" defaultRowHeight="15.75" x14ac:dyDescent="0.25"/>
  <cols>
    <col min="1" max="1" width="34" bestFit="1" customWidth="1"/>
    <col min="3" max="3" width="74.125" bestFit="1" customWidth="1"/>
    <col min="5" max="5" width="29.625" customWidth="1"/>
    <col min="6" max="6" width="16.125" bestFit="1" customWidth="1"/>
    <col min="7" max="7" width="12.125" bestFit="1" customWidth="1"/>
    <col min="8" max="8" width="12.125" customWidth="1"/>
  </cols>
  <sheetData>
    <row r="1" spans="1:13" x14ac:dyDescent="0.25">
      <c r="A1" t="s">
        <v>1</v>
      </c>
      <c r="B1" t="s">
        <v>0</v>
      </c>
      <c r="C1" t="s">
        <v>2</v>
      </c>
      <c r="D1" t="s">
        <v>3</v>
      </c>
      <c r="E1" t="s">
        <v>855</v>
      </c>
      <c r="F1" t="s">
        <v>856</v>
      </c>
      <c r="G1" t="s">
        <v>857</v>
      </c>
      <c r="H1" t="s">
        <v>858</v>
      </c>
      <c r="I1" t="s">
        <v>859</v>
      </c>
      <c r="J1" t="s">
        <v>1192</v>
      </c>
      <c r="K1" t="s">
        <v>860</v>
      </c>
      <c r="L1" t="s">
        <v>861</v>
      </c>
      <c r="M1" t="s">
        <v>862</v>
      </c>
    </row>
    <row r="2" spans="1:13" x14ac:dyDescent="0.25">
      <c r="A2" t="s">
        <v>9</v>
      </c>
      <c r="B2" t="s">
        <v>10</v>
      </c>
      <c r="C2" t="s">
        <v>11</v>
      </c>
      <c r="D2" t="s">
        <v>12</v>
      </c>
      <c r="E2" t="s">
        <v>11</v>
      </c>
      <c r="F2" t="s">
        <v>863</v>
      </c>
      <c r="G2" t="s">
        <v>863</v>
      </c>
      <c r="I2" t="s">
        <v>864</v>
      </c>
      <c r="J2" t="s">
        <v>1193</v>
      </c>
      <c r="K2" t="s">
        <v>12</v>
      </c>
    </row>
    <row r="3" spans="1:13" x14ac:dyDescent="0.25">
      <c r="A3" t="s">
        <v>9</v>
      </c>
      <c r="B3" t="s">
        <v>10</v>
      </c>
      <c r="C3" t="s">
        <v>17</v>
      </c>
      <c r="D3" t="s">
        <v>12</v>
      </c>
      <c r="E3" t="s">
        <v>17</v>
      </c>
      <c r="F3" t="s">
        <v>865</v>
      </c>
      <c r="G3" t="s">
        <v>865</v>
      </c>
      <c r="I3" t="s">
        <v>864</v>
      </c>
      <c r="J3" t="s">
        <v>1194</v>
      </c>
      <c r="K3" t="s">
        <v>12</v>
      </c>
    </row>
    <row r="4" spans="1:13" x14ac:dyDescent="0.25">
      <c r="A4" t="s">
        <v>9</v>
      </c>
      <c r="B4" t="s">
        <v>10</v>
      </c>
      <c r="C4" t="s">
        <v>21</v>
      </c>
      <c r="D4" t="s">
        <v>12</v>
      </c>
      <c r="E4" t="s">
        <v>21</v>
      </c>
      <c r="F4" t="s">
        <v>866</v>
      </c>
      <c r="G4" t="s">
        <v>866</v>
      </c>
      <c r="I4" t="s">
        <v>864</v>
      </c>
      <c r="J4" t="s">
        <v>1195</v>
      </c>
      <c r="K4" t="s">
        <v>12</v>
      </c>
    </row>
    <row r="5" spans="1:13" x14ac:dyDescent="0.25">
      <c r="A5" t="s">
        <v>9</v>
      </c>
      <c r="B5" t="s">
        <v>10</v>
      </c>
      <c r="C5" t="s">
        <v>25</v>
      </c>
      <c r="D5" t="s">
        <v>12</v>
      </c>
      <c r="E5" t="s">
        <v>25</v>
      </c>
      <c r="F5" t="s">
        <v>867</v>
      </c>
      <c r="G5" t="s">
        <v>867</v>
      </c>
      <c r="I5" t="s">
        <v>864</v>
      </c>
      <c r="J5" t="s">
        <v>1196</v>
      </c>
      <c r="K5" t="s">
        <v>12</v>
      </c>
    </row>
    <row r="6" spans="1:13" x14ac:dyDescent="0.25">
      <c r="A6" t="s">
        <v>9</v>
      </c>
      <c r="B6" t="s">
        <v>10</v>
      </c>
      <c r="C6" t="s">
        <v>29</v>
      </c>
      <c r="D6" t="s">
        <v>12</v>
      </c>
      <c r="E6" t="s">
        <v>29</v>
      </c>
      <c r="F6" t="s">
        <v>868</v>
      </c>
      <c r="G6" t="s">
        <v>868</v>
      </c>
      <c r="I6" t="s">
        <v>864</v>
      </c>
      <c r="J6" t="s">
        <v>1197</v>
      </c>
      <c r="K6" t="s">
        <v>12</v>
      </c>
    </row>
    <row r="7" spans="1:13" x14ac:dyDescent="0.25">
      <c r="A7" t="s">
        <v>9</v>
      </c>
      <c r="B7" t="s">
        <v>10</v>
      </c>
      <c r="C7" t="s">
        <v>34</v>
      </c>
      <c r="D7" t="s">
        <v>12</v>
      </c>
      <c r="E7" t="s">
        <v>34</v>
      </c>
      <c r="F7" t="s">
        <v>869</v>
      </c>
      <c r="G7" t="s">
        <v>869</v>
      </c>
      <c r="I7" t="s">
        <v>864</v>
      </c>
      <c r="J7" t="s">
        <v>1198</v>
      </c>
      <c r="K7" t="s">
        <v>12</v>
      </c>
    </row>
    <row r="8" spans="1:13" x14ac:dyDescent="0.25">
      <c r="A8" t="s">
        <v>9</v>
      </c>
      <c r="B8" t="s">
        <v>10</v>
      </c>
      <c r="C8" t="s">
        <v>38</v>
      </c>
      <c r="D8" t="s">
        <v>12</v>
      </c>
      <c r="E8" t="s">
        <v>38</v>
      </c>
      <c r="F8" t="s">
        <v>870</v>
      </c>
      <c r="G8" t="s">
        <v>870</v>
      </c>
      <c r="I8" t="s">
        <v>864</v>
      </c>
      <c r="J8" t="s">
        <v>1199</v>
      </c>
      <c r="K8" t="s">
        <v>12</v>
      </c>
    </row>
    <row r="9" spans="1:13" x14ac:dyDescent="0.25">
      <c r="A9" t="s">
        <v>9</v>
      </c>
      <c r="B9" t="s">
        <v>10</v>
      </c>
      <c r="C9" t="s">
        <v>42</v>
      </c>
      <c r="D9" t="s">
        <v>12</v>
      </c>
      <c r="E9" t="s">
        <v>42</v>
      </c>
      <c r="F9" t="s">
        <v>871</v>
      </c>
      <c r="G9" t="s">
        <v>871</v>
      </c>
      <c r="I9" t="s">
        <v>864</v>
      </c>
      <c r="J9" t="s">
        <v>1200</v>
      </c>
      <c r="K9" t="s">
        <v>12</v>
      </c>
    </row>
    <row r="10" spans="1:13" x14ac:dyDescent="0.25">
      <c r="A10" t="s">
        <v>9</v>
      </c>
      <c r="B10" t="s">
        <v>10</v>
      </c>
      <c r="C10" t="s">
        <v>46</v>
      </c>
      <c r="D10" t="s">
        <v>12</v>
      </c>
      <c r="E10" t="s">
        <v>46</v>
      </c>
      <c r="F10" t="s">
        <v>872</v>
      </c>
      <c r="G10" t="s">
        <v>872</v>
      </c>
      <c r="I10" t="s">
        <v>864</v>
      </c>
      <c r="J10" t="s">
        <v>1201</v>
      </c>
      <c r="K10" t="s">
        <v>12</v>
      </c>
    </row>
    <row r="11" spans="1:13" x14ac:dyDescent="0.25">
      <c r="A11" t="s">
        <v>9</v>
      </c>
      <c r="B11" t="s">
        <v>10</v>
      </c>
      <c r="C11" t="s">
        <v>50</v>
      </c>
      <c r="D11" t="s">
        <v>12</v>
      </c>
      <c r="E11" t="s">
        <v>50</v>
      </c>
      <c r="F11" t="s">
        <v>873</v>
      </c>
      <c r="G11" t="s">
        <v>873</v>
      </c>
      <c r="I11" t="s">
        <v>864</v>
      </c>
      <c r="J11" t="s">
        <v>1202</v>
      </c>
      <c r="K11" t="s">
        <v>12</v>
      </c>
    </row>
    <row r="12" spans="1:13" x14ac:dyDescent="0.25">
      <c r="A12" t="s">
        <v>9</v>
      </c>
      <c r="B12" t="s">
        <v>10</v>
      </c>
      <c r="C12" t="s">
        <v>54</v>
      </c>
      <c r="D12" t="s">
        <v>12</v>
      </c>
      <c r="E12" t="s">
        <v>54</v>
      </c>
      <c r="F12" t="s">
        <v>874</v>
      </c>
      <c r="G12" t="s">
        <v>874</v>
      </c>
      <c r="I12" t="s">
        <v>864</v>
      </c>
      <c r="J12" t="s">
        <v>1203</v>
      </c>
      <c r="K12" t="s">
        <v>12</v>
      </c>
    </row>
    <row r="13" spans="1:13" x14ac:dyDescent="0.25">
      <c r="A13" t="s">
        <v>9</v>
      </c>
      <c r="B13" t="s">
        <v>10</v>
      </c>
      <c r="C13" t="s">
        <v>58</v>
      </c>
      <c r="D13" t="s">
        <v>12</v>
      </c>
      <c r="E13" t="s">
        <v>58</v>
      </c>
      <c r="F13" t="s">
        <v>875</v>
      </c>
      <c r="G13" t="s">
        <v>875</v>
      </c>
      <c r="I13" t="s">
        <v>864</v>
      </c>
      <c r="J13" t="s">
        <v>1204</v>
      </c>
      <c r="K13" t="s">
        <v>12</v>
      </c>
    </row>
    <row r="14" spans="1:13" x14ac:dyDescent="0.25">
      <c r="A14" t="s">
        <v>9</v>
      </c>
      <c r="B14" t="s">
        <v>10</v>
      </c>
      <c r="C14" t="s">
        <v>876</v>
      </c>
      <c r="D14" t="s">
        <v>12</v>
      </c>
      <c r="E14" t="s">
        <v>876</v>
      </c>
      <c r="F14" t="s">
        <v>877</v>
      </c>
      <c r="G14" t="s">
        <v>877</v>
      </c>
      <c r="I14" t="s">
        <v>864</v>
      </c>
      <c r="J14" t="s">
        <v>1205</v>
      </c>
      <c r="K14" t="s">
        <v>12</v>
      </c>
    </row>
    <row r="15" spans="1:13" x14ac:dyDescent="0.25">
      <c r="A15" t="s">
        <v>9</v>
      </c>
      <c r="B15" t="s">
        <v>10</v>
      </c>
      <c r="C15" t="s">
        <v>878</v>
      </c>
      <c r="D15" t="s">
        <v>12</v>
      </c>
      <c r="E15" t="s">
        <v>878</v>
      </c>
      <c r="F15" t="s">
        <v>879</v>
      </c>
      <c r="G15" t="s">
        <v>879</v>
      </c>
      <c r="I15" t="s">
        <v>864</v>
      </c>
      <c r="J15" t="s">
        <v>1206</v>
      </c>
      <c r="K15" t="s">
        <v>12</v>
      </c>
    </row>
    <row r="16" spans="1:13" x14ac:dyDescent="0.25">
      <c r="A16" t="s">
        <v>9</v>
      </c>
      <c r="B16" t="s">
        <v>10</v>
      </c>
      <c r="C16" t="s">
        <v>880</v>
      </c>
      <c r="D16" t="s">
        <v>12</v>
      </c>
      <c r="E16" t="s">
        <v>880</v>
      </c>
      <c r="F16" t="s">
        <v>881</v>
      </c>
      <c r="G16" t="s">
        <v>881</v>
      </c>
      <c r="I16" t="s">
        <v>864</v>
      </c>
      <c r="J16" t="s">
        <v>1207</v>
      </c>
      <c r="K16" t="s">
        <v>12</v>
      </c>
    </row>
    <row r="17" spans="1:12" x14ac:dyDescent="0.25">
      <c r="A17" t="s">
        <v>9</v>
      </c>
      <c r="B17" t="s">
        <v>10</v>
      </c>
      <c r="C17" t="s">
        <v>882</v>
      </c>
      <c r="D17" t="s">
        <v>12</v>
      </c>
      <c r="E17" t="s">
        <v>882</v>
      </c>
      <c r="F17" t="s">
        <v>883</v>
      </c>
      <c r="G17" t="s">
        <v>883</v>
      </c>
      <c r="I17" t="s">
        <v>864</v>
      </c>
      <c r="J17" t="s">
        <v>1208</v>
      </c>
      <c r="K17" t="s">
        <v>12</v>
      </c>
    </row>
    <row r="18" spans="1:12" x14ac:dyDescent="0.25">
      <c r="A18" t="s">
        <v>9</v>
      </c>
      <c r="B18" t="s">
        <v>10</v>
      </c>
      <c r="C18" t="s">
        <v>884</v>
      </c>
      <c r="D18" t="s">
        <v>12</v>
      </c>
      <c r="E18" t="s">
        <v>885</v>
      </c>
      <c r="F18" t="s">
        <v>886</v>
      </c>
      <c r="G18" t="s">
        <v>887</v>
      </c>
      <c r="I18" t="s">
        <v>888</v>
      </c>
      <c r="J18" t="s">
        <v>1209</v>
      </c>
      <c r="K18" t="s">
        <v>889</v>
      </c>
      <c r="L18" t="s">
        <v>890</v>
      </c>
    </row>
    <row r="19" spans="1:12" x14ac:dyDescent="0.25">
      <c r="A19" t="s">
        <v>9</v>
      </c>
      <c r="B19" t="s">
        <v>10</v>
      </c>
      <c r="C19" t="s">
        <v>891</v>
      </c>
      <c r="D19" t="s">
        <v>12</v>
      </c>
      <c r="E19" t="s">
        <v>885</v>
      </c>
      <c r="F19" t="s">
        <v>886</v>
      </c>
      <c r="G19" t="s">
        <v>892</v>
      </c>
      <c r="I19" t="s">
        <v>888</v>
      </c>
      <c r="J19" t="s">
        <v>1209</v>
      </c>
      <c r="K19" t="s">
        <v>889</v>
      </c>
      <c r="L19" t="s">
        <v>893</v>
      </c>
    </row>
    <row r="20" spans="1:12" x14ac:dyDescent="0.25">
      <c r="A20" t="s">
        <v>75</v>
      </c>
      <c r="B20" t="s">
        <v>10</v>
      </c>
      <c r="C20" t="s">
        <v>894</v>
      </c>
      <c r="D20" t="s">
        <v>77</v>
      </c>
      <c r="E20" t="s">
        <v>895</v>
      </c>
      <c r="F20" t="s">
        <v>720</v>
      </c>
      <c r="G20" t="s">
        <v>896</v>
      </c>
      <c r="I20" t="s">
        <v>888</v>
      </c>
      <c r="J20" t="s">
        <v>1210</v>
      </c>
      <c r="K20" t="s">
        <v>897</v>
      </c>
      <c r="L20" t="s">
        <v>898</v>
      </c>
    </row>
    <row r="21" spans="1:12" x14ac:dyDescent="0.25">
      <c r="A21" t="s">
        <v>75</v>
      </c>
      <c r="B21" t="s">
        <v>10</v>
      </c>
      <c r="C21" t="s">
        <v>899</v>
      </c>
      <c r="D21" t="s">
        <v>77</v>
      </c>
      <c r="E21" t="s">
        <v>900</v>
      </c>
      <c r="F21" t="s">
        <v>901</v>
      </c>
      <c r="G21" t="s">
        <v>902</v>
      </c>
      <c r="I21" t="s">
        <v>888</v>
      </c>
      <c r="J21" t="s">
        <v>1211</v>
      </c>
      <c r="K21" t="s">
        <v>897</v>
      </c>
      <c r="L21" t="s">
        <v>898</v>
      </c>
    </row>
    <row r="22" spans="1:12" x14ac:dyDescent="0.25">
      <c r="A22" t="s">
        <v>75</v>
      </c>
      <c r="B22" t="s">
        <v>10</v>
      </c>
      <c r="C22" t="s">
        <v>903</v>
      </c>
      <c r="D22" t="s">
        <v>77</v>
      </c>
      <c r="E22" t="s">
        <v>904</v>
      </c>
      <c r="F22" t="s">
        <v>905</v>
      </c>
      <c r="G22" t="s">
        <v>906</v>
      </c>
      <c r="I22" t="s">
        <v>888</v>
      </c>
      <c r="J22" t="s">
        <v>1212</v>
      </c>
      <c r="K22" t="s">
        <v>897</v>
      </c>
      <c r="L22" t="s">
        <v>898</v>
      </c>
    </row>
    <row r="23" spans="1:12" x14ac:dyDescent="0.25">
      <c r="A23" t="s">
        <v>75</v>
      </c>
      <c r="B23" t="s">
        <v>10</v>
      </c>
      <c r="C23" t="s">
        <v>907</v>
      </c>
      <c r="D23" t="s">
        <v>77</v>
      </c>
      <c r="E23" t="s">
        <v>908</v>
      </c>
      <c r="F23" t="s">
        <v>71</v>
      </c>
      <c r="G23" t="s">
        <v>909</v>
      </c>
      <c r="I23" t="s">
        <v>888</v>
      </c>
      <c r="J23" t="s">
        <v>1213</v>
      </c>
      <c r="K23" t="s">
        <v>897</v>
      </c>
      <c r="L23" t="s">
        <v>898</v>
      </c>
    </row>
    <row r="24" spans="1:12" x14ac:dyDescent="0.25">
      <c r="A24" t="s">
        <v>75</v>
      </c>
      <c r="B24" t="s">
        <v>10</v>
      </c>
      <c r="C24" t="s">
        <v>910</v>
      </c>
      <c r="D24" t="s">
        <v>77</v>
      </c>
      <c r="E24" t="s">
        <v>911</v>
      </c>
      <c r="F24" t="s">
        <v>912</v>
      </c>
      <c r="G24" t="s">
        <v>913</v>
      </c>
      <c r="I24" t="s">
        <v>888</v>
      </c>
      <c r="J24" t="s">
        <v>1214</v>
      </c>
      <c r="K24" t="s">
        <v>897</v>
      </c>
      <c r="L24" t="s">
        <v>898</v>
      </c>
    </row>
    <row r="25" spans="1:12" x14ac:dyDescent="0.25">
      <c r="A25" t="s">
        <v>75</v>
      </c>
      <c r="B25" t="s">
        <v>10</v>
      </c>
      <c r="C25" t="s">
        <v>914</v>
      </c>
      <c r="D25" t="s">
        <v>77</v>
      </c>
      <c r="E25" t="s">
        <v>915</v>
      </c>
      <c r="F25" t="s">
        <v>916</v>
      </c>
      <c r="G25" t="s">
        <v>917</v>
      </c>
      <c r="I25" t="s">
        <v>888</v>
      </c>
      <c r="J25" t="s">
        <v>1215</v>
      </c>
      <c r="K25" t="s">
        <v>897</v>
      </c>
      <c r="L25" t="s">
        <v>898</v>
      </c>
    </row>
    <row r="26" spans="1:12" x14ac:dyDescent="0.25">
      <c r="A26" t="s">
        <v>104</v>
      </c>
      <c r="B26" t="s">
        <v>10</v>
      </c>
      <c r="C26" t="s">
        <v>918</v>
      </c>
      <c r="D26" t="s">
        <v>106</v>
      </c>
      <c r="E26" t="s">
        <v>919</v>
      </c>
      <c r="F26">
        <v>509</v>
      </c>
      <c r="G26">
        <v>509</v>
      </c>
      <c r="I26" t="s">
        <v>888</v>
      </c>
      <c r="J26" t="s">
        <v>1216</v>
      </c>
      <c r="K26" t="s">
        <v>106</v>
      </c>
    </row>
    <row r="27" spans="1:12" x14ac:dyDescent="0.25">
      <c r="A27" t="s">
        <v>104</v>
      </c>
      <c r="B27" t="s">
        <v>10</v>
      </c>
      <c r="C27" t="s">
        <v>920</v>
      </c>
      <c r="D27" t="s">
        <v>106</v>
      </c>
      <c r="E27" t="s">
        <v>921</v>
      </c>
      <c r="F27">
        <v>1990</v>
      </c>
      <c r="G27">
        <v>1990</v>
      </c>
      <c r="I27" t="s">
        <v>888</v>
      </c>
      <c r="J27" t="s">
        <v>1217</v>
      </c>
      <c r="K27" t="s">
        <v>106</v>
      </c>
    </row>
    <row r="28" spans="1:12" x14ac:dyDescent="0.25">
      <c r="A28" t="s">
        <v>104</v>
      </c>
      <c r="B28" t="s">
        <v>10</v>
      </c>
      <c r="C28" t="s">
        <v>922</v>
      </c>
      <c r="D28" t="s">
        <v>106</v>
      </c>
      <c r="E28" t="s">
        <v>923</v>
      </c>
      <c r="F28">
        <v>509</v>
      </c>
      <c r="G28">
        <v>509</v>
      </c>
      <c r="I28" t="s">
        <v>888</v>
      </c>
      <c r="J28" t="s">
        <v>1218</v>
      </c>
      <c r="K28" t="s">
        <v>106</v>
      </c>
    </row>
    <row r="29" spans="1:12" x14ac:dyDescent="0.25">
      <c r="A29" t="s">
        <v>104</v>
      </c>
      <c r="B29" t="s">
        <v>10</v>
      </c>
      <c r="C29" t="s">
        <v>924</v>
      </c>
      <c r="D29" t="s">
        <v>106</v>
      </c>
      <c r="E29" t="s">
        <v>925</v>
      </c>
      <c r="F29">
        <v>2460</v>
      </c>
      <c r="G29">
        <v>2460</v>
      </c>
      <c r="I29" t="s">
        <v>888</v>
      </c>
      <c r="J29" t="s">
        <v>1219</v>
      </c>
      <c r="K29" t="s">
        <v>106</v>
      </c>
    </row>
    <row r="30" spans="1:12" x14ac:dyDescent="0.25">
      <c r="A30" t="s">
        <v>104</v>
      </c>
      <c r="B30" t="s">
        <v>10</v>
      </c>
      <c r="C30" t="s">
        <v>926</v>
      </c>
      <c r="D30" t="s">
        <v>106</v>
      </c>
      <c r="E30" t="s">
        <v>927</v>
      </c>
      <c r="F30">
        <v>439</v>
      </c>
      <c r="G30">
        <v>439</v>
      </c>
      <c r="I30" t="s">
        <v>888</v>
      </c>
      <c r="J30" t="s">
        <v>1220</v>
      </c>
      <c r="K30" t="s">
        <v>106</v>
      </c>
    </row>
    <row r="31" spans="1:12" x14ac:dyDescent="0.25">
      <c r="A31" t="s">
        <v>104</v>
      </c>
      <c r="B31" t="s">
        <v>10</v>
      </c>
      <c r="C31" t="s">
        <v>928</v>
      </c>
      <c r="D31" t="s">
        <v>106</v>
      </c>
      <c r="E31" t="s">
        <v>929</v>
      </c>
      <c r="F31">
        <v>3580</v>
      </c>
      <c r="G31">
        <v>3580</v>
      </c>
      <c r="I31" t="s">
        <v>888</v>
      </c>
      <c r="J31" t="s">
        <v>1221</v>
      </c>
      <c r="K31" t="s">
        <v>106</v>
      </c>
    </row>
    <row r="32" spans="1:12" x14ac:dyDescent="0.25">
      <c r="A32" t="s">
        <v>104</v>
      </c>
      <c r="B32" t="s">
        <v>10</v>
      </c>
      <c r="C32" t="s">
        <v>930</v>
      </c>
      <c r="D32" t="s">
        <v>106</v>
      </c>
      <c r="E32" t="s">
        <v>931</v>
      </c>
      <c r="F32">
        <v>6680</v>
      </c>
      <c r="G32">
        <v>6680</v>
      </c>
      <c r="I32" t="s">
        <v>888</v>
      </c>
      <c r="J32" t="s">
        <v>1222</v>
      </c>
      <c r="K32" t="s">
        <v>106</v>
      </c>
    </row>
    <row r="33" spans="1:12" x14ac:dyDescent="0.25">
      <c r="A33" t="s">
        <v>104</v>
      </c>
      <c r="B33" t="s">
        <v>10</v>
      </c>
      <c r="C33" t="s">
        <v>932</v>
      </c>
      <c r="D33" t="s">
        <v>106</v>
      </c>
      <c r="E33" t="s">
        <v>933</v>
      </c>
      <c r="F33">
        <v>2190</v>
      </c>
      <c r="G33">
        <v>2190</v>
      </c>
      <c r="I33" t="s">
        <v>888</v>
      </c>
      <c r="J33" t="s">
        <v>1223</v>
      </c>
      <c r="K33" t="s">
        <v>106</v>
      </c>
    </row>
    <row r="34" spans="1:12" x14ac:dyDescent="0.25">
      <c r="A34" t="s">
        <v>104</v>
      </c>
      <c r="B34" t="s">
        <v>10</v>
      </c>
      <c r="C34" t="s">
        <v>934</v>
      </c>
      <c r="D34" t="s">
        <v>106</v>
      </c>
      <c r="E34" t="s">
        <v>935</v>
      </c>
      <c r="F34">
        <v>683</v>
      </c>
      <c r="G34">
        <v>683</v>
      </c>
      <c r="I34" t="s">
        <v>888</v>
      </c>
      <c r="J34" t="s">
        <v>1224</v>
      </c>
      <c r="K34" t="s">
        <v>106</v>
      </c>
    </row>
    <row r="35" spans="1:12" x14ac:dyDescent="0.25">
      <c r="A35" t="s">
        <v>104</v>
      </c>
      <c r="B35" t="s">
        <v>10</v>
      </c>
      <c r="C35" t="s">
        <v>936</v>
      </c>
      <c r="D35" t="s">
        <v>106</v>
      </c>
      <c r="E35" t="s">
        <v>937</v>
      </c>
      <c r="F35">
        <v>5040</v>
      </c>
      <c r="G35">
        <v>5040</v>
      </c>
      <c r="I35" t="s">
        <v>888</v>
      </c>
      <c r="J35" t="s">
        <v>1225</v>
      </c>
      <c r="K35" t="s">
        <v>106</v>
      </c>
    </row>
    <row r="36" spans="1:12" x14ac:dyDescent="0.25">
      <c r="A36" t="s">
        <v>168</v>
      </c>
      <c r="B36" t="s">
        <v>10</v>
      </c>
      <c r="C36" t="s">
        <v>938</v>
      </c>
      <c r="D36" t="s">
        <v>12</v>
      </c>
      <c r="E36" t="s">
        <v>939</v>
      </c>
      <c r="F36" s="2">
        <v>0.34300000000000003</v>
      </c>
      <c r="G36" s="2">
        <v>0.34300000000000003</v>
      </c>
      <c r="I36" t="s">
        <v>864</v>
      </c>
      <c r="J36" t="s">
        <v>1226</v>
      </c>
      <c r="K36" t="s">
        <v>12</v>
      </c>
    </row>
    <row r="37" spans="1:12" x14ac:dyDescent="0.25">
      <c r="A37" t="s">
        <v>168</v>
      </c>
      <c r="B37" t="s">
        <v>10</v>
      </c>
      <c r="C37" t="s">
        <v>938</v>
      </c>
      <c r="D37" t="s">
        <v>12</v>
      </c>
      <c r="E37" t="s">
        <v>941</v>
      </c>
      <c r="F37" t="s">
        <v>942</v>
      </c>
      <c r="G37" s="2">
        <v>0.29399999999999998</v>
      </c>
      <c r="I37" t="s">
        <v>888</v>
      </c>
      <c r="J37" t="s">
        <v>1227</v>
      </c>
      <c r="K37" t="s">
        <v>944</v>
      </c>
      <c r="L37" t="s">
        <v>945</v>
      </c>
    </row>
    <row r="38" spans="1:12" x14ac:dyDescent="0.25">
      <c r="A38" t="s">
        <v>168</v>
      </c>
      <c r="B38" t="s">
        <v>10</v>
      </c>
      <c r="C38" t="s">
        <v>946</v>
      </c>
      <c r="D38" t="s">
        <v>12</v>
      </c>
      <c r="E38" t="s">
        <v>947</v>
      </c>
      <c r="F38" t="s">
        <v>948</v>
      </c>
      <c r="G38" s="2">
        <v>0.315</v>
      </c>
      <c r="I38" t="s">
        <v>864</v>
      </c>
      <c r="J38" t="s">
        <v>1228</v>
      </c>
      <c r="K38" t="s">
        <v>12</v>
      </c>
    </row>
    <row r="39" spans="1:12" x14ac:dyDescent="0.25">
      <c r="A39" t="s">
        <v>168</v>
      </c>
      <c r="B39" t="s">
        <v>10</v>
      </c>
      <c r="C39" t="s">
        <v>1320</v>
      </c>
      <c r="D39" t="s">
        <v>12</v>
      </c>
      <c r="E39" t="s">
        <v>941</v>
      </c>
      <c r="F39" t="s">
        <v>942</v>
      </c>
      <c r="G39">
        <f>G37*2</f>
        <v>0.58799999999999997</v>
      </c>
      <c r="I39" t="s">
        <v>888</v>
      </c>
      <c r="J39" t="s">
        <v>1227</v>
      </c>
      <c r="K39" t="s">
        <v>944</v>
      </c>
      <c r="L39" t="s">
        <v>1322</v>
      </c>
    </row>
    <row r="40" spans="1:12" x14ac:dyDescent="0.25">
      <c r="A40" t="s">
        <v>168</v>
      </c>
      <c r="B40" t="s">
        <v>10</v>
      </c>
      <c r="C40" t="s">
        <v>1321</v>
      </c>
      <c r="D40" t="s">
        <v>12</v>
      </c>
      <c r="E40" t="s">
        <v>949</v>
      </c>
      <c r="F40" t="s">
        <v>950</v>
      </c>
      <c r="G40">
        <f>G44*2</f>
        <v>1.222</v>
      </c>
      <c r="I40" t="s">
        <v>888</v>
      </c>
      <c r="J40" t="s">
        <v>1229</v>
      </c>
      <c r="K40" t="s">
        <v>944</v>
      </c>
      <c r="L40" t="s">
        <v>1322</v>
      </c>
    </row>
    <row r="41" spans="1:12" x14ac:dyDescent="0.25">
      <c r="A41" t="s">
        <v>180</v>
      </c>
      <c r="B41" t="s">
        <v>10</v>
      </c>
      <c r="C41" t="s">
        <v>939</v>
      </c>
      <c r="D41" t="s">
        <v>12</v>
      </c>
      <c r="E41" t="s">
        <v>939</v>
      </c>
      <c r="F41" t="s">
        <v>940</v>
      </c>
      <c r="G41" t="s">
        <v>940</v>
      </c>
      <c r="I41" t="s">
        <v>864</v>
      </c>
      <c r="J41" t="s">
        <v>1226</v>
      </c>
      <c r="K41" t="s">
        <v>12</v>
      </c>
    </row>
    <row r="42" spans="1:12" x14ac:dyDescent="0.25">
      <c r="A42" t="s">
        <v>180</v>
      </c>
      <c r="B42" t="s">
        <v>10</v>
      </c>
      <c r="C42" t="s">
        <v>939</v>
      </c>
      <c r="D42" t="s">
        <v>12</v>
      </c>
      <c r="E42" t="s">
        <v>941</v>
      </c>
      <c r="F42" t="s">
        <v>942</v>
      </c>
      <c r="G42" t="s">
        <v>943</v>
      </c>
      <c r="I42" t="s">
        <v>888</v>
      </c>
      <c r="J42" t="s">
        <v>1227</v>
      </c>
      <c r="K42" t="s">
        <v>944</v>
      </c>
      <c r="L42" t="s">
        <v>945</v>
      </c>
    </row>
    <row r="43" spans="1:12" x14ac:dyDescent="0.25">
      <c r="A43" t="s">
        <v>180</v>
      </c>
      <c r="B43" t="s">
        <v>10</v>
      </c>
      <c r="C43" t="s">
        <v>946</v>
      </c>
      <c r="D43" t="s">
        <v>12</v>
      </c>
      <c r="E43" t="s">
        <v>947</v>
      </c>
      <c r="F43" t="s">
        <v>948</v>
      </c>
      <c r="G43" t="s">
        <v>948</v>
      </c>
      <c r="I43" t="s">
        <v>864</v>
      </c>
      <c r="J43" t="s">
        <v>1228</v>
      </c>
      <c r="K43" t="s">
        <v>12</v>
      </c>
    </row>
    <row r="44" spans="1:12" x14ac:dyDescent="0.25">
      <c r="A44" t="s">
        <v>180</v>
      </c>
      <c r="B44" t="s">
        <v>10</v>
      </c>
      <c r="C44" t="s">
        <v>946</v>
      </c>
      <c r="D44" t="s">
        <v>12</v>
      </c>
      <c r="E44" t="s">
        <v>949</v>
      </c>
      <c r="F44" t="s">
        <v>950</v>
      </c>
      <c r="G44" t="s">
        <v>951</v>
      </c>
      <c r="I44" t="s">
        <v>888</v>
      </c>
      <c r="J44" t="s">
        <v>1229</v>
      </c>
      <c r="K44" t="s">
        <v>944</v>
      </c>
      <c r="L44" t="s">
        <v>945</v>
      </c>
    </row>
    <row r="45" spans="1:12" x14ac:dyDescent="0.25">
      <c r="A45" t="s">
        <v>180</v>
      </c>
      <c r="B45" t="s">
        <v>10</v>
      </c>
      <c r="C45" t="s">
        <v>952</v>
      </c>
      <c r="D45" t="s">
        <v>12</v>
      </c>
      <c r="E45" t="s">
        <v>953</v>
      </c>
      <c r="F45" t="s">
        <v>954</v>
      </c>
      <c r="G45" t="s">
        <v>955</v>
      </c>
      <c r="I45" t="s">
        <v>888</v>
      </c>
      <c r="J45" t="s">
        <v>1230</v>
      </c>
      <c r="K45" t="s">
        <v>944</v>
      </c>
      <c r="L45" t="s">
        <v>956</v>
      </c>
    </row>
    <row r="46" spans="1:12" x14ac:dyDescent="0.25">
      <c r="A46" t="s">
        <v>180</v>
      </c>
      <c r="B46" t="s">
        <v>10</v>
      </c>
      <c r="C46" t="s">
        <v>957</v>
      </c>
      <c r="D46" t="s">
        <v>12</v>
      </c>
      <c r="E46" t="s">
        <v>953</v>
      </c>
      <c r="F46" t="s">
        <v>954</v>
      </c>
      <c r="G46" t="s">
        <v>958</v>
      </c>
      <c r="I46" t="s">
        <v>888</v>
      </c>
      <c r="J46" t="s">
        <v>1230</v>
      </c>
      <c r="K46" t="s">
        <v>944</v>
      </c>
      <c r="L46" t="s">
        <v>959</v>
      </c>
    </row>
    <row r="47" spans="1:12" x14ac:dyDescent="0.25">
      <c r="A47" t="s">
        <v>211</v>
      </c>
      <c r="B47" t="s">
        <v>10</v>
      </c>
      <c r="C47" t="s">
        <v>960</v>
      </c>
      <c r="D47" t="s">
        <v>12</v>
      </c>
      <c r="E47" t="s">
        <v>960</v>
      </c>
      <c r="F47" t="s">
        <v>961</v>
      </c>
      <c r="G47" t="s">
        <v>961</v>
      </c>
      <c r="I47" t="s">
        <v>864</v>
      </c>
      <c r="J47" t="s">
        <v>1231</v>
      </c>
      <c r="K47" t="s">
        <v>12</v>
      </c>
    </row>
    <row r="48" spans="1:12" x14ac:dyDescent="0.25">
      <c r="A48" t="s">
        <v>211</v>
      </c>
      <c r="B48" t="s">
        <v>10</v>
      </c>
      <c r="C48" t="s">
        <v>962</v>
      </c>
      <c r="D48" t="s">
        <v>12</v>
      </c>
      <c r="E48" t="s">
        <v>962</v>
      </c>
      <c r="F48" t="s">
        <v>963</v>
      </c>
      <c r="G48" t="s">
        <v>963</v>
      </c>
      <c r="I48" t="s">
        <v>864</v>
      </c>
      <c r="J48" t="s">
        <v>1232</v>
      </c>
      <c r="K48" t="s">
        <v>12</v>
      </c>
    </row>
    <row r="49" spans="1:12" x14ac:dyDescent="0.25">
      <c r="A49" t="s">
        <v>211</v>
      </c>
      <c r="B49" t="s">
        <v>10</v>
      </c>
      <c r="C49" t="s">
        <v>964</v>
      </c>
      <c r="D49" t="s">
        <v>12</v>
      </c>
      <c r="E49" t="s">
        <v>964</v>
      </c>
      <c r="F49" t="s">
        <v>965</v>
      </c>
      <c r="G49" t="s">
        <v>965</v>
      </c>
      <c r="I49" t="s">
        <v>864</v>
      </c>
      <c r="J49" t="s">
        <v>1233</v>
      </c>
      <c r="K49" t="s">
        <v>12</v>
      </c>
    </row>
    <row r="50" spans="1:12" x14ac:dyDescent="0.25">
      <c r="A50" t="s">
        <v>211</v>
      </c>
      <c r="B50" t="s">
        <v>10</v>
      </c>
      <c r="C50" t="s">
        <v>966</v>
      </c>
      <c r="D50" t="s">
        <v>12</v>
      </c>
      <c r="E50" t="s">
        <v>966</v>
      </c>
      <c r="F50" t="s">
        <v>967</v>
      </c>
      <c r="G50" t="s">
        <v>967</v>
      </c>
      <c r="I50" t="s">
        <v>864</v>
      </c>
      <c r="J50" t="s">
        <v>1234</v>
      </c>
      <c r="K50" t="s">
        <v>12</v>
      </c>
    </row>
    <row r="51" spans="1:12" x14ac:dyDescent="0.25">
      <c r="A51" t="s">
        <v>211</v>
      </c>
      <c r="B51" t="s">
        <v>10</v>
      </c>
      <c r="C51" t="s">
        <v>968</v>
      </c>
      <c r="D51" t="s">
        <v>12</v>
      </c>
      <c r="E51" t="s">
        <v>968</v>
      </c>
      <c r="F51" t="s">
        <v>969</v>
      </c>
      <c r="G51" t="s">
        <v>969</v>
      </c>
      <c r="I51" t="s">
        <v>864</v>
      </c>
      <c r="J51" t="s">
        <v>1235</v>
      </c>
      <c r="K51" t="s">
        <v>12</v>
      </c>
    </row>
    <row r="52" spans="1:12" x14ac:dyDescent="0.25">
      <c r="A52" t="s">
        <v>211</v>
      </c>
      <c r="B52" t="s">
        <v>10</v>
      </c>
      <c r="C52" t="s">
        <v>970</v>
      </c>
      <c r="D52" t="s">
        <v>12</v>
      </c>
      <c r="E52" t="s">
        <v>970</v>
      </c>
      <c r="F52" t="s">
        <v>971</v>
      </c>
      <c r="G52" t="s">
        <v>971</v>
      </c>
      <c r="I52" t="s">
        <v>864</v>
      </c>
      <c r="J52" t="s">
        <v>1236</v>
      </c>
      <c r="K52" t="s">
        <v>12</v>
      </c>
    </row>
    <row r="53" spans="1:12" x14ac:dyDescent="0.25">
      <c r="A53" t="s">
        <v>211</v>
      </c>
      <c r="B53" t="s">
        <v>10</v>
      </c>
      <c r="C53" t="s">
        <v>972</v>
      </c>
      <c r="D53" t="s">
        <v>12</v>
      </c>
      <c r="E53" t="s">
        <v>972</v>
      </c>
      <c r="F53" t="s">
        <v>973</v>
      </c>
      <c r="G53" t="s">
        <v>973</v>
      </c>
      <c r="I53" t="s">
        <v>864</v>
      </c>
      <c r="J53" t="s">
        <v>1237</v>
      </c>
      <c r="K53" t="s">
        <v>12</v>
      </c>
    </row>
    <row r="54" spans="1:12" x14ac:dyDescent="0.25">
      <c r="A54" t="s">
        <v>211</v>
      </c>
      <c r="B54" t="s">
        <v>10</v>
      </c>
      <c r="C54" t="s">
        <v>974</v>
      </c>
      <c r="D54" t="s">
        <v>12</v>
      </c>
      <c r="E54" t="s">
        <v>974</v>
      </c>
      <c r="F54" t="s">
        <v>975</v>
      </c>
      <c r="G54" t="s">
        <v>975</v>
      </c>
      <c r="I54" t="s">
        <v>864</v>
      </c>
      <c r="J54" t="s">
        <v>1238</v>
      </c>
      <c r="K54" t="s">
        <v>12</v>
      </c>
    </row>
    <row r="55" spans="1:12" x14ac:dyDescent="0.25">
      <c r="A55" t="s">
        <v>211</v>
      </c>
      <c r="B55" t="s">
        <v>10</v>
      </c>
      <c r="C55" t="s">
        <v>976</v>
      </c>
      <c r="D55" t="s">
        <v>12</v>
      </c>
      <c r="E55" t="s">
        <v>976</v>
      </c>
      <c r="F55" t="s">
        <v>977</v>
      </c>
      <c r="G55" t="s">
        <v>977</v>
      </c>
      <c r="I55" t="s">
        <v>864</v>
      </c>
      <c r="J55" t="s">
        <v>1239</v>
      </c>
      <c r="K55" t="s">
        <v>12</v>
      </c>
    </row>
    <row r="56" spans="1:12" x14ac:dyDescent="0.25">
      <c r="A56" t="s">
        <v>211</v>
      </c>
      <c r="B56" t="s">
        <v>10</v>
      </c>
      <c r="C56" t="s">
        <v>978</v>
      </c>
      <c r="D56" t="s">
        <v>12</v>
      </c>
      <c r="E56" t="s">
        <v>978</v>
      </c>
      <c r="F56" t="s">
        <v>979</v>
      </c>
      <c r="G56" t="s">
        <v>979</v>
      </c>
      <c r="I56" t="s">
        <v>864</v>
      </c>
      <c r="J56" t="s">
        <v>1240</v>
      </c>
      <c r="K56" t="s">
        <v>12</v>
      </c>
    </row>
    <row r="57" spans="1:12" x14ac:dyDescent="0.25">
      <c r="A57" t="s">
        <v>211</v>
      </c>
      <c r="B57" t="s">
        <v>10</v>
      </c>
      <c r="C57" t="s">
        <v>980</v>
      </c>
      <c r="D57" t="s">
        <v>12</v>
      </c>
      <c r="E57" t="s">
        <v>980</v>
      </c>
      <c r="F57" t="s">
        <v>981</v>
      </c>
      <c r="G57" t="s">
        <v>981</v>
      </c>
      <c r="I57" t="s">
        <v>864</v>
      </c>
      <c r="J57" t="s">
        <v>1241</v>
      </c>
      <c r="K57" t="s">
        <v>12</v>
      </c>
    </row>
    <row r="58" spans="1:12" x14ac:dyDescent="0.25">
      <c r="A58" t="s">
        <v>211</v>
      </c>
      <c r="B58" t="s">
        <v>10</v>
      </c>
      <c r="C58" t="s">
        <v>982</v>
      </c>
      <c r="D58" t="s">
        <v>12</v>
      </c>
      <c r="E58" t="s">
        <v>982</v>
      </c>
      <c r="F58" t="s">
        <v>983</v>
      </c>
      <c r="G58" t="s">
        <v>983</v>
      </c>
      <c r="I58" t="s">
        <v>864</v>
      </c>
      <c r="J58" t="s">
        <v>1242</v>
      </c>
      <c r="K58" t="s">
        <v>12</v>
      </c>
    </row>
    <row r="59" spans="1:12" x14ac:dyDescent="0.25">
      <c r="A59" t="s">
        <v>311</v>
      </c>
      <c r="B59" t="s">
        <v>10</v>
      </c>
      <c r="C59" t="s">
        <v>984</v>
      </c>
      <c r="D59" t="s">
        <v>106</v>
      </c>
      <c r="E59" t="s">
        <v>985</v>
      </c>
      <c r="F59" t="s">
        <v>986</v>
      </c>
      <c r="G59" t="s">
        <v>987</v>
      </c>
      <c r="I59" t="s">
        <v>888</v>
      </c>
      <c r="J59" t="s">
        <v>1243</v>
      </c>
      <c r="K59" t="s">
        <v>889</v>
      </c>
      <c r="L59" t="s">
        <v>988</v>
      </c>
    </row>
    <row r="60" spans="1:12" x14ac:dyDescent="0.25">
      <c r="A60" t="s">
        <v>311</v>
      </c>
      <c r="B60" t="s">
        <v>10</v>
      </c>
      <c r="C60" t="s">
        <v>989</v>
      </c>
      <c r="D60" t="s">
        <v>106</v>
      </c>
      <c r="E60" t="s">
        <v>985</v>
      </c>
      <c r="F60" t="s">
        <v>986</v>
      </c>
      <c r="G60" t="s">
        <v>990</v>
      </c>
      <c r="I60" t="s">
        <v>888</v>
      </c>
      <c r="J60" t="s">
        <v>1243</v>
      </c>
      <c r="K60" t="s">
        <v>889</v>
      </c>
      <c r="L60" t="s">
        <v>988</v>
      </c>
    </row>
    <row r="61" spans="1:12" x14ac:dyDescent="0.25">
      <c r="A61" t="s">
        <v>311</v>
      </c>
      <c r="B61" t="s">
        <v>10</v>
      </c>
      <c r="C61" t="s">
        <v>991</v>
      </c>
      <c r="D61" t="s">
        <v>106</v>
      </c>
      <c r="E61" t="s">
        <v>985</v>
      </c>
      <c r="F61" t="s">
        <v>986</v>
      </c>
      <c r="G61" t="s">
        <v>990</v>
      </c>
      <c r="I61" t="s">
        <v>888</v>
      </c>
      <c r="J61" t="s">
        <v>1243</v>
      </c>
      <c r="K61" t="s">
        <v>889</v>
      </c>
      <c r="L61" t="s">
        <v>988</v>
      </c>
    </row>
    <row r="62" spans="1:12" x14ac:dyDescent="0.25">
      <c r="A62" t="s">
        <v>311</v>
      </c>
      <c r="B62" t="s">
        <v>10</v>
      </c>
      <c r="C62" t="s">
        <v>992</v>
      </c>
      <c r="D62" t="s">
        <v>106</v>
      </c>
      <c r="E62" t="s">
        <v>985</v>
      </c>
      <c r="F62" t="s">
        <v>986</v>
      </c>
      <c r="G62" t="s">
        <v>993</v>
      </c>
      <c r="I62" t="s">
        <v>888</v>
      </c>
      <c r="J62" t="s">
        <v>1243</v>
      </c>
      <c r="K62" t="s">
        <v>889</v>
      </c>
      <c r="L62" t="s">
        <v>988</v>
      </c>
    </row>
    <row r="63" spans="1:12" x14ac:dyDescent="0.25">
      <c r="A63" t="s">
        <v>337</v>
      </c>
      <c r="B63" t="s">
        <v>10</v>
      </c>
      <c r="C63" t="s">
        <v>984</v>
      </c>
      <c r="D63" t="s">
        <v>106</v>
      </c>
      <c r="E63" t="s">
        <v>985</v>
      </c>
      <c r="F63" t="s">
        <v>986</v>
      </c>
      <c r="G63" t="s">
        <v>987</v>
      </c>
      <c r="I63" t="s">
        <v>888</v>
      </c>
      <c r="J63" t="s">
        <v>1243</v>
      </c>
      <c r="K63" t="s">
        <v>889</v>
      </c>
      <c r="L63" t="s">
        <v>988</v>
      </c>
    </row>
    <row r="64" spans="1:12" x14ac:dyDescent="0.25">
      <c r="A64" t="s">
        <v>337</v>
      </c>
      <c r="B64" t="s">
        <v>10</v>
      </c>
      <c r="C64" t="s">
        <v>989</v>
      </c>
      <c r="D64" t="s">
        <v>106</v>
      </c>
      <c r="E64" t="s">
        <v>985</v>
      </c>
      <c r="F64" t="s">
        <v>986</v>
      </c>
      <c r="G64" t="s">
        <v>990</v>
      </c>
      <c r="I64" t="s">
        <v>888</v>
      </c>
      <c r="J64" t="s">
        <v>1243</v>
      </c>
      <c r="K64" t="s">
        <v>889</v>
      </c>
      <c r="L64" t="s">
        <v>988</v>
      </c>
    </row>
    <row r="65" spans="1:13" x14ac:dyDescent="0.25">
      <c r="A65" t="s">
        <v>337</v>
      </c>
      <c r="B65" t="s">
        <v>10</v>
      </c>
      <c r="C65" t="s">
        <v>991</v>
      </c>
      <c r="D65" t="s">
        <v>106</v>
      </c>
      <c r="E65" t="s">
        <v>985</v>
      </c>
      <c r="F65" t="s">
        <v>986</v>
      </c>
      <c r="G65" t="s">
        <v>990</v>
      </c>
      <c r="I65" t="s">
        <v>888</v>
      </c>
      <c r="J65" t="s">
        <v>1243</v>
      </c>
      <c r="K65" t="s">
        <v>889</v>
      </c>
      <c r="L65" t="s">
        <v>988</v>
      </c>
    </row>
    <row r="66" spans="1:13" x14ac:dyDescent="0.25">
      <c r="A66" t="s">
        <v>337</v>
      </c>
      <c r="B66" t="s">
        <v>10</v>
      </c>
      <c r="C66" t="s">
        <v>992</v>
      </c>
      <c r="D66" t="s">
        <v>106</v>
      </c>
      <c r="E66" t="s">
        <v>985</v>
      </c>
      <c r="F66" t="s">
        <v>986</v>
      </c>
      <c r="G66" t="s">
        <v>993</v>
      </c>
      <c r="I66" t="s">
        <v>888</v>
      </c>
      <c r="J66" t="s">
        <v>1243</v>
      </c>
      <c r="K66" t="s">
        <v>889</v>
      </c>
      <c r="L66" t="s">
        <v>988</v>
      </c>
    </row>
    <row r="67" spans="1:13" x14ac:dyDescent="0.25">
      <c r="A67" t="s">
        <v>364</v>
      </c>
      <c r="B67" t="s">
        <v>10</v>
      </c>
      <c r="C67" t="s">
        <v>994</v>
      </c>
      <c r="D67" t="s">
        <v>106</v>
      </c>
      <c r="E67" t="s">
        <v>985</v>
      </c>
      <c r="F67" t="s">
        <v>986</v>
      </c>
      <c r="G67" t="s">
        <v>995</v>
      </c>
      <c r="I67" t="s">
        <v>888</v>
      </c>
      <c r="J67" t="s">
        <v>1243</v>
      </c>
      <c r="K67" t="s">
        <v>889</v>
      </c>
      <c r="L67" t="s">
        <v>988</v>
      </c>
    </row>
    <row r="68" spans="1:13" x14ac:dyDescent="0.25">
      <c r="A68" t="s">
        <v>364</v>
      </c>
      <c r="B68" t="s">
        <v>10</v>
      </c>
      <c r="C68" t="s">
        <v>996</v>
      </c>
      <c r="D68" t="s">
        <v>106</v>
      </c>
      <c r="E68" t="s">
        <v>985</v>
      </c>
      <c r="F68" t="s">
        <v>986</v>
      </c>
      <c r="G68" t="s">
        <v>997</v>
      </c>
      <c r="I68" t="s">
        <v>888</v>
      </c>
      <c r="J68" t="s">
        <v>1243</v>
      </c>
      <c r="K68" t="s">
        <v>889</v>
      </c>
      <c r="L68" t="s">
        <v>988</v>
      </c>
    </row>
    <row r="69" spans="1:13" x14ac:dyDescent="0.25">
      <c r="A69" t="s">
        <v>381</v>
      </c>
      <c r="B69" t="s">
        <v>10</v>
      </c>
      <c r="C69" t="s">
        <v>994</v>
      </c>
      <c r="D69" t="s">
        <v>106</v>
      </c>
      <c r="E69" t="s">
        <v>985</v>
      </c>
      <c r="F69" t="s">
        <v>986</v>
      </c>
      <c r="G69" t="s">
        <v>995</v>
      </c>
      <c r="I69" t="s">
        <v>888</v>
      </c>
      <c r="J69" t="s">
        <v>1243</v>
      </c>
      <c r="K69" t="s">
        <v>889</v>
      </c>
      <c r="L69" t="s">
        <v>988</v>
      </c>
    </row>
    <row r="70" spans="1:13" x14ac:dyDescent="0.25">
      <c r="A70" t="s">
        <v>381</v>
      </c>
      <c r="B70" t="s">
        <v>10</v>
      </c>
      <c r="C70" t="s">
        <v>996</v>
      </c>
      <c r="D70" t="s">
        <v>106</v>
      </c>
      <c r="E70" t="s">
        <v>985</v>
      </c>
      <c r="F70" t="s">
        <v>986</v>
      </c>
      <c r="G70" t="s">
        <v>997</v>
      </c>
      <c r="I70" t="s">
        <v>888</v>
      </c>
      <c r="J70" t="s">
        <v>1243</v>
      </c>
      <c r="K70" t="s">
        <v>889</v>
      </c>
      <c r="L70" t="s">
        <v>988</v>
      </c>
    </row>
    <row r="71" spans="1:13" x14ac:dyDescent="0.25">
      <c r="A71" t="s">
        <v>338</v>
      </c>
      <c r="B71" t="s">
        <v>10</v>
      </c>
      <c r="C71" t="s">
        <v>998</v>
      </c>
      <c r="D71" t="s">
        <v>106</v>
      </c>
      <c r="E71" t="s">
        <v>999</v>
      </c>
      <c r="F71" t="s">
        <v>1000</v>
      </c>
      <c r="G71" t="s">
        <v>1001</v>
      </c>
      <c r="I71" t="s">
        <v>1002</v>
      </c>
      <c r="J71" t="s">
        <v>1244</v>
      </c>
      <c r="K71" t="s">
        <v>1003</v>
      </c>
      <c r="L71" t="s">
        <v>1004</v>
      </c>
      <c r="M71" t="s">
        <v>1005</v>
      </c>
    </row>
    <row r="72" spans="1:13" x14ac:dyDescent="0.25">
      <c r="A72" t="s">
        <v>338</v>
      </c>
      <c r="B72" t="s">
        <v>10</v>
      </c>
      <c r="C72" t="s">
        <v>1006</v>
      </c>
      <c r="D72" t="s">
        <v>106</v>
      </c>
      <c r="E72" t="s">
        <v>999</v>
      </c>
      <c r="F72" t="s">
        <v>1000</v>
      </c>
      <c r="G72" t="s">
        <v>1007</v>
      </c>
      <c r="I72" t="s">
        <v>1002</v>
      </c>
      <c r="J72" t="s">
        <v>1244</v>
      </c>
      <c r="K72" t="s">
        <v>1003</v>
      </c>
      <c r="L72" t="s">
        <v>1004</v>
      </c>
      <c r="M72" t="s">
        <v>1005</v>
      </c>
    </row>
    <row r="73" spans="1:13" x14ac:dyDescent="0.25">
      <c r="A73" t="s">
        <v>338</v>
      </c>
      <c r="B73" t="s">
        <v>10</v>
      </c>
      <c r="C73" t="s">
        <v>1008</v>
      </c>
      <c r="D73" t="s">
        <v>106</v>
      </c>
      <c r="E73" t="s">
        <v>1009</v>
      </c>
      <c r="F73" t="s">
        <v>1010</v>
      </c>
      <c r="G73" t="s">
        <v>1011</v>
      </c>
      <c r="I73" t="s">
        <v>1002</v>
      </c>
      <c r="J73" t="s">
        <v>1245</v>
      </c>
      <c r="K73" t="s">
        <v>1003</v>
      </c>
      <c r="L73" t="s">
        <v>1004</v>
      </c>
      <c r="M73" t="s">
        <v>1012</v>
      </c>
    </row>
    <row r="74" spans="1:13" x14ac:dyDescent="0.25">
      <c r="A74" t="s">
        <v>338</v>
      </c>
      <c r="B74" t="s">
        <v>10</v>
      </c>
      <c r="C74" t="s">
        <v>1013</v>
      </c>
      <c r="D74" t="s">
        <v>106</v>
      </c>
      <c r="E74" t="s">
        <v>1009</v>
      </c>
      <c r="F74" t="s">
        <v>1010</v>
      </c>
      <c r="G74" t="s">
        <v>1014</v>
      </c>
      <c r="I74" t="s">
        <v>1002</v>
      </c>
      <c r="J74" t="s">
        <v>1245</v>
      </c>
      <c r="K74" t="s">
        <v>1003</v>
      </c>
      <c r="L74" t="s">
        <v>1004</v>
      </c>
      <c r="M74" t="s">
        <v>1012</v>
      </c>
    </row>
    <row r="75" spans="1:13" x14ac:dyDescent="0.25">
      <c r="A75" t="s">
        <v>399</v>
      </c>
      <c r="B75" t="s">
        <v>10</v>
      </c>
      <c r="C75" t="s">
        <v>1015</v>
      </c>
      <c r="D75" t="s">
        <v>106</v>
      </c>
      <c r="E75" t="s">
        <v>1015</v>
      </c>
      <c r="F75">
        <v>55.733000000000004</v>
      </c>
      <c r="G75">
        <v>55.733000000000004</v>
      </c>
      <c r="I75" t="s">
        <v>1002</v>
      </c>
      <c r="J75" t="s">
        <v>1246</v>
      </c>
      <c r="K75" t="s">
        <v>106</v>
      </c>
      <c r="M75" t="s">
        <v>1016</v>
      </c>
    </row>
    <row r="76" spans="1:13" x14ac:dyDescent="0.25">
      <c r="A76" t="s">
        <v>399</v>
      </c>
      <c r="B76" t="s">
        <v>10</v>
      </c>
      <c r="C76" t="s">
        <v>1017</v>
      </c>
      <c r="D76" t="s">
        <v>106</v>
      </c>
      <c r="E76" t="s">
        <v>1017</v>
      </c>
      <c r="F76">
        <v>55.733000000000004</v>
      </c>
      <c r="G76">
        <v>55.733000000000004</v>
      </c>
      <c r="I76" t="s">
        <v>1002</v>
      </c>
      <c r="J76" t="s">
        <v>1247</v>
      </c>
      <c r="K76" t="s">
        <v>106</v>
      </c>
      <c r="M76" t="s">
        <v>1016</v>
      </c>
    </row>
    <row r="77" spans="1:13" x14ac:dyDescent="0.25">
      <c r="A77" t="s">
        <v>432</v>
      </c>
      <c r="B77" t="s">
        <v>10</v>
      </c>
      <c r="C77" t="s">
        <v>1018</v>
      </c>
      <c r="D77" t="s">
        <v>12</v>
      </c>
      <c r="E77" t="s">
        <v>1018</v>
      </c>
      <c r="F77" t="s">
        <v>1019</v>
      </c>
      <c r="G77" t="s">
        <v>1019</v>
      </c>
      <c r="I77" t="s">
        <v>864</v>
      </c>
      <c r="J77" t="s">
        <v>1248</v>
      </c>
      <c r="K77" t="s">
        <v>12</v>
      </c>
    </row>
    <row r="78" spans="1:13" x14ac:dyDescent="0.25">
      <c r="A78" t="s">
        <v>432</v>
      </c>
      <c r="B78" t="s">
        <v>10</v>
      </c>
      <c r="C78" t="s">
        <v>1020</v>
      </c>
      <c r="D78" t="s">
        <v>12</v>
      </c>
      <c r="E78" t="s">
        <v>1020</v>
      </c>
      <c r="F78" t="s">
        <v>1021</v>
      </c>
      <c r="G78" t="s">
        <v>1021</v>
      </c>
      <c r="I78" t="s">
        <v>864</v>
      </c>
      <c r="J78" t="s">
        <v>1249</v>
      </c>
      <c r="K78" t="s">
        <v>12</v>
      </c>
    </row>
    <row r="79" spans="1:13" x14ac:dyDescent="0.25">
      <c r="A79" t="s">
        <v>432</v>
      </c>
      <c r="B79" t="s">
        <v>10</v>
      </c>
      <c r="C79" t="s">
        <v>1022</v>
      </c>
      <c r="D79" t="s">
        <v>12</v>
      </c>
      <c r="E79" t="s">
        <v>1022</v>
      </c>
      <c r="F79" t="s">
        <v>1023</v>
      </c>
      <c r="G79" t="s">
        <v>1023</v>
      </c>
      <c r="I79" t="s">
        <v>864</v>
      </c>
      <c r="J79" t="s">
        <v>1250</v>
      </c>
      <c r="K79" t="s">
        <v>12</v>
      </c>
    </row>
    <row r="80" spans="1:13" x14ac:dyDescent="0.25">
      <c r="A80" t="s">
        <v>437</v>
      </c>
      <c r="B80" t="s">
        <v>10</v>
      </c>
      <c r="C80" t="s">
        <v>1018</v>
      </c>
      <c r="D80" t="s">
        <v>12</v>
      </c>
      <c r="E80" t="s">
        <v>1018</v>
      </c>
      <c r="F80" t="s">
        <v>1019</v>
      </c>
      <c r="G80" t="s">
        <v>1019</v>
      </c>
      <c r="I80" t="s">
        <v>864</v>
      </c>
      <c r="J80" t="s">
        <v>1248</v>
      </c>
      <c r="K80" t="s">
        <v>12</v>
      </c>
    </row>
    <row r="81" spans="1:12" x14ac:dyDescent="0.25">
      <c r="A81" t="s">
        <v>437</v>
      </c>
      <c r="B81" t="s">
        <v>10</v>
      </c>
      <c r="C81" t="s">
        <v>1020</v>
      </c>
      <c r="D81" t="s">
        <v>12</v>
      </c>
      <c r="E81" t="s">
        <v>1020</v>
      </c>
      <c r="F81" t="s">
        <v>1021</v>
      </c>
      <c r="G81" t="s">
        <v>1021</v>
      </c>
      <c r="I81" t="s">
        <v>864</v>
      </c>
      <c r="J81" t="s">
        <v>1249</v>
      </c>
      <c r="K81" t="s">
        <v>12</v>
      </c>
    </row>
    <row r="82" spans="1:12" x14ac:dyDescent="0.25">
      <c r="A82" t="s">
        <v>437</v>
      </c>
      <c r="B82" t="s">
        <v>10</v>
      </c>
      <c r="C82" t="s">
        <v>1022</v>
      </c>
      <c r="D82" t="s">
        <v>12</v>
      </c>
      <c r="E82" t="s">
        <v>1022</v>
      </c>
      <c r="F82" t="s">
        <v>1023</v>
      </c>
      <c r="G82" t="s">
        <v>1023</v>
      </c>
      <c r="I82" t="s">
        <v>864</v>
      </c>
      <c r="J82" t="s">
        <v>1250</v>
      </c>
      <c r="K82" t="s">
        <v>12</v>
      </c>
    </row>
    <row r="83" spans="1:12" x14ac:dyDescent="0.25">
      <c r="A83" t="s">
        <v>441</v>
      </c>
      <c r="B83" t="s">
        <v>10</v>
      </c>
      <c r="C83" t="s">
        <v>1024</v>
      </c>
      <c r="D83" t="s">
        <v>106</v>
      </c>
      <c r="E83" t="s">
        <v>1025</v>
      </c>
      <c r="F83" t="s">
        <v>1026</v>
      </c>
      <c r="G83" t="s">
        <v>1027</v>
      </c>
      <c r="I83" t="s">
        <v>888</v>
      </c>
      <c r="J83" t="s">
        <v>1251</v>
      </c>
      <c r="K83" t="s">
        <v>1003</v>
      </c>
      <c r="L83" t="s">
        <v>1028</v>
      </c>
    </row>
    <row r="84" spans="1:12" x14ac:dyDescent="0.25">
      <c r="A84" t="s">
        <v>441</v>
      </c>
      <c r="B84" t="s">
        <v>10</v>
      </c>
      <c r="C84" t="s">
        <v>1029</v>
      </c>
      <c r="D84" t="s">
        <v>106</v>
      </c>
      <c r="E84" t="s">
        <v>1030</v>
      </c>
      <c r="F84" t="s">
        <v>1031</v>
      </c>
      <c r="G84" t="s">
        <v>1032</v>
      </c>
      <c r="I84" t="s">
        <v>888</v>
      </c>
      <c r="J84" t="s">
        <v>1252</v>
      </c>
      <c r="K84" t="s">
        <v>1003</v>
      </c>
      <c r="L84" t="s">
        <v>1028</v>
      </c>
    </row>
    <row r="85" spans="1:12" x14ac:dyDescent="0.25">
      <c r="A85" t="s">
        <v>472</v>
      </c>
      <c r="B85" t="s">
        <v>10</v>
      </c>
      <c r="C85" t="s">
        <v>1033</v>
      </c>
      <c r="D85" t="s">
        <v>106</v>
      </c>
      <c r="E85" t="s">
        <v>1034</v>
      </c>
      <c r="F85" t="s">
        <v>1035</v>
      </c>
      <c r="G85" t="s">
        <v>1036</v>
      </c>
      <c r="I85" t="s">
        <v>888</v>
      </c>
      <c r="J85" t="s">
        <v>1253</v>
      </c>
      <c r="K85" t="s">
        <v>1003</v>
      </c>
      <c r="L85" t="s">
        <v>1028</v>
      </c>
    </row>
    <row r="86" spans="1:12" x14ac:dyDescent="0.25">
      <c r="A86" t="s">
        <v>472</v>
      </c>
      <c r="B86" t="s">
        <v>10</v>
      </c>
      <c r="C86" t="s">
        <v>1037</v>
      </c>
      <c r="D86" t="s">
        <v>106</v>
      </c>
      <c r="E86" t="s">
        <v>1038</v>
      </c>
      <c r="F86" t="s">
        <v>1039</v>
      </c>
      <c r="G86" t="s">
        <v>1040</v>
      </c>
      <c r="I86" t="s">
        <v>888</v>
      </c>
      <c r="J86" t="s">
        <v>1254</v>
      </c>
      <c r="K86" t="s">
        <v>1003</v>
      </c>
      <c r="L86" t="s">
        <v>1028</v>
      </c>
    </row>
    <row r="87" spans="1:12" x14ac:dyDescent="0.25">
      <c r="A87" t="s">
        <v>485</v>
      </c>
      <c r="B87" t="s">
        <v>10</v>
      </c>
      <c r="C87" t="s">
        <v>1041</v>
      </c>
      <c r="D87" t="s">
        <v>12</v>
      </c>
      <c r="E87" t="s">
        <v>1041</v>
      </c>
      <c r="F87" t="s">
        <v>1042</v>
      </c>
      <c r="G87" t="s">
        <v>1043</v>
      </c>
      <c r="I87" t="s">
        <v>864</v>
      </c>
      <c r="J87" t="s">
        <v>1255</v>
      </c>
      <c r="K87" t="s">
        <v>12</v>
      </c>
    </row>
    <row r="88" spans="1:12" x14ac:dyDescent="0.25">
      <c r="A88" t="s">
        <v>485</v>
      </c>
      <c r="B88" t="s">
        <v>10</v>
      </c>
      <c r="C88" t="s">
        <v>1044</v>
      </c>
      <c r="D88" t="s">
        <v>12</v>
      </c>
      <c r="E88" t="s">
        <v>1044</v>
      </c>
      <c r="F88" t="s">
        <v>1045</v>
      </c>
      <c r="G88" t="s">
        <v>1046</v>
      </c>
      <c r="I88" t="s">
        <v>864</v>
      </c>
      <c r="J88" t="s">
        <v>1256</v>
      </c>
      <c r="K88" t="s">
        <v>12</v>
      </c>
    </row>
    <row r="89" spans="1:12" x14ac:dyDescent="0.25">
      <c r="A89" t="s">
        <v>509</v>
      </c>
      <c r="B89" t="s">
        <v>10</v>
      </c>
      <c r="C89" t="s">
        <v>510</v>
      </c>
      <c r="D89" t="s">
        <v>12</v>
      </c>
      <c r="E89" t="s">
        <v>510</v>
      </c>
      <c r="F89" t="s">
        <v>1047</v>
      </c>
      <c r="G89" t="s">
        <v>1047</v>
      </c>
      <c r="I89" t="s">
        <v>864</v>
      </c>
      <c r="J89" t="s">
        <v>1257</v>
      </c>
      <c r="K89" t="s">
        <v>12</v>
      </c>
    </row>
    <row r="90" spans="1:12" x14ac:dyDescent="0.25">
      <c r="A90" t="s">
        <v>509</v>
      </c>
      <c r="B90" t="s">
        <v>10</v>
      </c>
      <c r="C90" t="s">
        <v>513</v>
      </c>
      <c r="D90" t="s">
        <v>12</v>
      </c>
      <c r="E90" t="s">
        <v>513</v>
      </c>
      <c r="F90" t="s">
        <v>1048</v>
      </c>
      <c r="G90" t="s">
        <v>1048</v>
      </c>
      <c r="I90" t="s">
        <v>864</v>
      </c>
      <c r="J90" t="s">
        <v>1258</v>
      </c>
      <c r="K90" t="s">
        <v>12</v>
      </c>
    </row>
    <row r="91" spans="1:12" x14ac:dyDescent="0.25">
      <c r="A91" t="s">
        <v>509</v>
      </c>
      <c r="B91" t="s">
        <v>10</v>
      </c>
      <c r="C91" t="s">
        <v>1049</v>
      </c>
      <c r="D91" t="s">
        <v>12</v>
      </c>
      <c r="E91" t="s">
        <v>1049</v>
      </c>
      <c r="F91" t="s">
        <v>1050</v>
      </c>
      <c r="G91" t="s">
        <v>1050</v>
      </c>
      <c r="I91" t="s">
        <v>864</v>
      </c>
      <c r="J91" t="s">
        <v>1259</v>
      </c>
      <c r="K91" t="s">
        <v>12</v>
      </c>
    </row>
    <row r="92" spans="1:12" x14ac:dyDescent="0.25">
      <c r="A92" t="s">
        <v>509</v>
      </c>
      <c r="B92" t="s">
        <v>10</v>
      </c>
      <c r="C92" t="s">
        <v>1051</v>
      </c>
      <c r="D92" t="s">
        <v>12</v>
      </c>
      <c r="E92" t="s">
        <v>1051</v>
      </c>
      <c r="F92" t="s">
        <v>1052</v>
      </c>
      <c r="G92" t="s">
        <v>1052</v>
      </c>
      <c r="I92" t="s">
        <v>864</v>
      </c>
      <c r="J92" t="s">
        <v>1260</v>
      </c>
      <c r="K92" t="s">
        <v>12</v>
      </c>
    </row>
    <row r="93" spans="1:12" x14ac:dyDescent="0.25">
      <c r="A93" t="s">
        <v>509</v>
      </c>
      <c r="B93" t="s">
        <v>10</v>
      </c>
      <c r="C93" t="s">
        <v>1053</v>
      </c>
      <c r="D93" t="s">
        <v>12</v>
      </c>
      <c r="E93" t="s">
        <v>1053</v>
      </c>
      <c r="F93" t="s">
        <v>1054</v>
      </c>
      <c r="G93" t="s">
        <v>1054</v>
      </c>
      <c r="I93" t="s">
        <v>864</v>
      </c>
      <c r="J93" t="s">
        <v>1261</v>
      </c>
      <c r="K93" t="s">
        <v>12</v>
      </c>
    </row>
    <row r="94" spans="1:12" x14ac:dyDescent="0.25">
      <c r="A94" t="s">
        <v>509</v>
      </c>
      <c r="B94" t="s">
        <v>10</v>
      </c>
      <c r="C94" t="s">
        <v>1055</v>
      </c>
      <c r="D94" t="s">
        <v>12</v>
      </c>
      <c r="E94" t="s">
        <v>1055</v>
      </c>
      <c r="F94" t="s">
        <v>1056</v>
      </c>
      <c r="G94" t="s">
        <v>1056</v>
      </c>
      <c r="I94" t="s">
        <v>864</v>
      </c>
      <c r="J94" t="s">
        <v>1262</v>
      </c>
      <c r="K94" t="s">
        <v>12</v>
      </c>
    </row>
    <row r="95" spans="1:12" x14ac:dyDescent="0.25">
      <c r="A95" t="s">
        <v>509</v>
      </c>
      <c r="B95" t="s">
        <v>10</v>
      </c>
      <c r="C95" t="s">
        <v>530</v>
      </c>
      <c r="D95" t="s">
        <v>12</v>
      </c>
      <c r="E95" t="s">
        <v>530</v>
      </c>
      <c r="F95" t="s">
        <v>1057</v>
      </c>
      <c r="G95" t="s">
        <v>1057</v>
      </c>
      <c r="I95" t="s">
        <v>864</v>
      </c>
      <c r="J95" t="s">
        <v>1263</v>
      </c>
      <c r="K95" t="s">
        <v>12</v>
      </c>
    </row>
    <row r="96" spans="1:12" x14ac:dyDescent="0.25">
      <c r="A96" t="s">
        <v>509</v>
      </c>
      <c r="B96" t="s">
        <v>10</v>
      </c>
      <c r="C96" t="s">
        <v>534</v>
      </c>
      <c r="D96" t="s">
        <v>12</v>
      </c>
      <c r="E96" t="s">
        <v>534</v>
      </c>
      <c r="F96" t="s">
        <v>1058</v>
      </c>
      <c r="G96" t="s">
        <v>1058</v>
      </c>
      <c r="I96" t="s">
        <v>864</v>
      </c>
      <c r="J96" t="s">
        <v>1264</v>
      </c>
      <c r="K96" t="s">
        <v>12</v>
      </c>
    </row>
    <row r="97" spans="1:12" x14ac:dyDescent="0.25">
      <c r="A97" t="s">
        <v>535</v>
      </c>
      <c r="B97" t="s">
        <v>10</v>
      </c>
      <c r="C97" t="s">
        <v>1059</v>
      </c>
      <c r="D97" t="s">
        <v>77</v>
      </c>
      <c r="E97" t="s">
        <v>949</v>
      </c>
      <c r="F97">
        <v>690</v>
      </c>
      <c r="G97">
        <f>F97*0.000442450728</f>
        <v>0.30529100232</v>
      </c>
      <c r="I97" t="s">
        <v>888</v>
      </c>
      <c r="J97" t="s">
        <v>1229</v>
      </c>
      <c r="K97" t="s">
        <v>944</v>
      </c>
      <c r="L97" t="s">
        <v>1060</v>
      </c>
    </row>
    <row r="98" spans="1:12" x14ac:dyDescent="0.25">
      <c r="A98" t="s">
        <v>535</v>
      </c>
      <c r="B98" t="s">
        <v>10</v>
      </c>
      <c r="C98" t="s">
        <v>946</v>
      </c>
      <c r="D98" t="s">
        <v>77</v>
      </c>
      <c r="E98" t="s">
        <v>947</v>
      </c>
      <c r="F98" t="s">
        <v>948</v>
      </c>
      <c r="G98" t="s">
        <v>1061</v>
      </c>
      <c r="I98" t="s">
        <v>864</v>
      </c>
      <c r="J98" t="s">
        <v>1228</v>
      </c>
      <c r="K98" t="s">
        <v>12</v>
      </c>
      <c r="L98" t="s">
        <v>1062</v>
      </c>
    </row>
    <row r="99" spans="1:12" x14ac:dyDescent="0.25">
      <c r="A99" t="s">
        <v>552</v>
      </c>
      <c r="B99" t="s">
        <v>10</v>
      </c>
      <c r="C99" t="s">
        <v>552</v>
      </c>
      <c r="D99" t="s">
        <v>106</v>
      </c>
      <c r="E99" t="s">
        <v>1063</v>
      </c>
      <c r="F99" t="s">
        <v>1064</v>
      </c>
      <c r="G99" t="s">
        <v>1064</v>
      </c>
      <c r="I99" t="s">
        <v>888</v>
      </c>
      <c r="J99" t="s">
        <v>1265</v>
      </c>
      <c r="K99" t="s">
        <v>106</v>
      </c>
    </row>
    <row r="100" spans="1:12" x14ac:dyDescent="0.25">
      <c r="A100" t="s">
        <v>573</v>
      </c>
      <c r="B100" t="s">
        <v>10</v>
      </c>
      <c r="C100" t="s">
        <v>573</v>
      </c>
      <c r="D100" t="s">
        <v>106</v>
      </c>
      <c r="E100" t="s">
        <v>1065</v>
      </c>
      <c r="F100" t="s">
        <v>1066</v>
      </c>
      <c r="G100" t="s">
        <v>1066</v>
      </c>
      <c r="I100" t="s">
        <v>888</v>
      </c>
      <c r="J100" t="s">
        <v>1266</v>
      </c>
      <c r="K100" t="s">
        <v>106</v>
      </c>
    </row>
    <row r="101" spans="1:12" x14ac:dyDescent="0.25">
      <c r="A101" t="s">
        <v>580</v>
      </c>
      <c r="B101" t="s">
        <v>10</v>
      </c>
      <c r="C101" t="s">
        <v>580</v>
      </c>
      <c r="D101" t="s">
        <v>106</v>
      </c>
      <c r="E101" t="s">
        <v>1067</v>
      </c>
      <c r="F101" t="s">
        <v>1068</v>
      </c>
      <c r="G101" t="s">
        <v>1068</v>
      </c>
      <c r="I101" t="s">
        <v>888</v>
      </c>
      <c r="J101" t="s">
        <v>1267</v>
      </c>
      <c r="K101" t="s">
        <v>106</v>
      </c>
    </row>
    <row r="102" spans="1:12" x14ac:dyDescent="0.25">
      <c r="A102" t="s">
        <v>589</v>
      </c>
      <c r="B102" t="s">
        <v>10</v>
      </c>
      <c r="C102" t="s">
        <v>589</v>
      </c>
      <c r="D102" t="s">
        <v>106</v>
      </c>
      <c r="E102" t="s">
        <v>1069</v>
      </c>
      <c r="F102" t="s">
        <v>1070</v>
      </c>
      <c r="G102" t="s">
        <v>1070</v>
      </c>
      <c r="I102" t="s">
        <v>888</v>
      </c>
      <c r="J102" t="s">
        <v>1268</v>
      </c>
      <c r="K102" t="s">
        <v>106</v>
      </c>
    </row>
    <row r="103" spans="1:12" x14ac:dyDescent="0.25">
      <c r="A103" t="s">
        <v>597</v>
      </c>
      <c r="B103" t="s">
        <v>10</v>
      </c>
      <c r="C103" t="s">
        <v>597</v>
      </c>
      <c r="D103" t="s">
        <v>106</v>
      </c>
      <c r="E103" t="s">
        <v>1071</v>
      </c>
      <c r="F103" t="s">
        <v>1072</v>
      </c>
      <c r="G103" t="s">
        <v>1072</v>
      </c>
      <c r="I103" t="s">
        <v>888</v>
      </c>
      <c r="J103" t="s">
        <v>1269</v>
      </c>
      <c r="K103" t="s">
        <v>106</v>
      </c>
    </row>
    <row r="104" spans="1:12" x14ac:dyDescent="0.25">
      <c r="A104" t="s">
        <v>609</v>
      </c>
      <c r="B104" t="s">
        <v>10</v>
      </c>
      <c r="C104" t="s">
        <v>609</v>
      </c>
      <c r="D104" t="s">
        <v>106</v>
      </c>
      <c r="E104" t="s">
        <v>1073</v>
      </c>
      <c r="F104" t="s">
        <v>1074</v>
      </c>
      <c r="G104" t="s">
        <v>1074</v>
      </c>
      <c r="I104" t="s">
        <v>888</v>
      </c>
      <c r="J104" t="s">
        <v>1270</v>
      </c>
      <c r="K104" t="s">
        <v>106</v>
      </c>
    </row>
    <row r="105" spans="1:12" x14ac:dyDescent="0.25">
      <c r="A105" t="s">
        <v>619</v>
      </c>
      <c r="B105" t="s">
        <v>10</v>
      </c>
      <c r="C105" t="s">
        <v>619</v>
      </c>
      <c r="D105" t="s">
        <v>106</v>
      </c>
      <c r="E105" t="s">
        <v>1075</v>
      </c>
      <c r="F105" t="s">
        <v>1076</v>
      </c>
      <c r="G105" t="s">
        <v>1076</v>
      </c>
      <c r="I105" t="s">
        <v>888</v>
      </c>
      <c r="J105" t="s">
        <v>1271</v>
      </c>
      <c r="K105" t="s">
        <v>106</v>
      </c>
    </row>
    <row r="106" spans="1:12" x14ac:dyDescent="0.25">
      <c r="A106" t="s">
        <v>627</v>
      </c>
      <c r="B106" t="s">
        <v>10</v>
      </c>
      <c r="C106" t="s">
        <v>1077</v>
      </c>
      <c r="D106" t="s">
        <v>106</v>
      </c>
      <c r="E106" t="s">
        <v>1078</v>
      </c>
      <c r="F106" t="s">
        <v>1079</v>
      </c>
      <c r="G106" t="s">
        <v>1080</v>
      </c>
      <c r="I106" t="s">
        <v>888</v>
      </c>
      <c r="J106" t="s">
        <v>1272</v>
      </c>
      <c r="K106" t="s">
        <v>889</v>
      </c>
      <c r="L106" t="s">
        <v>1081</v>
      </c>
    </row>
    <row r="107" spans="1:12" x14ac:dyDescent="0.25">
      <c r="A107" t="s">
        <v>637</v>
      </c>
      <c r="B107" t="s">
        <v>10</v>
      </c>
      <c r="C107" t="s">
        <v>1077</v>
      </c>
      <c r="D107" t="s">
        <v>106</v>
      </c>
      <c r="E107" t="s">
        <v>1078</v>
      </c>
      <c r="F107" t="s">
        <v>1079</v>
      </c>
      <c r="G107" t="s">
        <v>1080</v>
      </c>
      <c r="I107" t="s">
        <v>888</v>
      </c>
      <c r="J107" t="s">
        <v>1272</v>
      </c>
      <c r="K107" t="s">
        <v>889</v>
      </c>
      <c r="L107" t="s">
        <v>1081</v>
      </c>
    </row>
    <row r="108" spans="1:12" x14ac:dyDescent="0.25">
      <c r="A108" t="s">
        <v>638</v>
      </c>
      <c r="B108" t="s">
        <v>10</v>
      </c>
      <c r="C108" t="s">
        <v>1078</v>
      </c>
      <c r="D108" t="s">
        <v>106</v>
      </c>
      <c r="E108" t="s">
        <v>1078</v>
      </c>
      <c r="F108" t="s">
        <v>1079</v>
      </c>
      <c r="G108" t="s">
        <v>1080</v>
      </c>
      <c r="I108" t="s">
        <v>888</v>
      </c>
      <c r="J108" t="s">
        <v>1272</v>
      </c>
      <c r="K108" t="s">
        <v>889</v>
      </c>
      <c r="L108" t="s">
        <v>1081</v>
      </c>
    </row>
    <row r="109" spans="1:12" x14ac:dyDescent="0.25">
      <c r="A109" t="s">
        <v>647</v>
      </c>
      <c r="B109" t="s">
        <v>10</v>
      </c>
      <c r="C109" t="s">
        <v>1083</v>
      </c>
      <c r="D109" t="s">
        <v>1082</v>
      </c>
      <c r="E109" t="s">
        <v>1083</v>
      </c>
      <c r="F109" t="s">
        <v>1084</v>
      </c>
      <c r="G109" t="s">
        <v>1085</v>
      </c>
      <c r="I109" t="s">
        <v>888</v>
      </c>
      <c r="J109" t="s">
        <v>1273</v>
      </c>
      <c r="K109" t="s">
        <v>897</v>
      </c>
      <c r="L109" t="s">
        <v>1086</v>
      </c>
    </row>
    <row r="110" spans="1:12" x14ac:dyDescent="0.25">
      <c r="A110" t="s">
        <v>651</v>
      </c>
      <c r="B110" t="s">
        <v>10</v>
      </c>
      <c r="C110" t="s">
        <v>1087</v>
      </c>
      <c r="D110" t="s">
        <v>106</v>
      </c>
      <c r="E110" t="s">
        <v>1088</v>
      </c>
      <c r="F110" t="s">
        <v>1089</v>
      </c>
      <c r="G110" t="s">
        <v>1089</v>
      </c>
      <c r="I110" t="s">
        <v>1090</v>
      </c>
      <c r="J110" t="s">
        <v>1274</v>
      </c>
      <c r="K110" t="s">
        <v>1091</v>
      </c>
      <c r="L110" t="s">
        <v>1092</v>
      </c>
    </row>
    <row r="111" spans="1:12" x14ac:dyDescent="0.25">
      <c r="A111" t="s">
        <v>651</v>
      </c>
      <c r="B111" t="s">
        <v>10</v>
      </c>
      <c r="C111" t="s">
        <v>1093</v>
      </c>
      <c r="D111" t="s">
        <v>106</v>
      </c>
      <c r="E111" t="s">
        <v>1094</v>
      </c>
      <c r="F111" t="s">
        <v>1095</v>
      </c>
      <c r="G111" t="s">
        <v>1095</v>
      </c>
      <c r="I111" t="s">
        <v>1090</v>
      </c>
      <c r="J111" t="s">
        <v>1275</v>
      </c>
      <c r="K111" t="s">
        <v>1091</v>
      </c>
      <c r="L111" t="s">
        <v>1092</v>
      </c>
    </row>
    <row r="112" spans="1:12" x14ac:dyDescent="0.25">
      <c r="A112" t="s">
        <v>651</v>
      </c>
      <c r="B112" t="s">
        <v>10</v>
      </c>
      <c r="C112" t="s">
        <v>1087</v>
      </c>
      <c r="D112" t="s">
        <v>106</v>
      </c>
      <c r="E112" t="s">
        <v>1096</v>
      </c>
      <c r="F112" t="s">
        <v>1097</v>
      </c>
      <c r="G112" t="s">
        <v>1097</v>
      </c>
      <c r="I112" t="s">
        <v>1090</v>
      </c>
      <c r="J112" t="s">
        <v>1276</v>
      </c>
      <c r="K112" t="s">
        <v>1091</v>
      </c>
      <c r="L112" t="s">
        <v>1092</v>
      </c>
    </row>
    <row r="113" spans="1:12" x14ac:dyDescent="0.25">
      <c r="A113" t="s">
        <v>661</v>
      </c>
      <c r="B113" t="s">
        <v>10</v>
      </c>
      <c r="C113" t="s">
        <v>1098</v>
      </c>
      <c r="D113" t="s">
        <v>106</v>
      </c>
      <c r="E113" t="s">
        <v>1099</v>
      </c>
      <c r="F113" t="s">
        <v>1100</v>
      </c>
      <c r="G113" t="s">
        <v>1100</v>
      </c>
      <c r="I113" t="s">
        <v>888</v>
      </c>
      <c r="J113" t="s">
        <v>1277</v>
      </c>
      <c r="K113" t="s">
        <v>1003</v>
      </c>
      <c r="L113" t="s">
        <v>1101</v>
      </c>
    </row>
    <row r="114" spans="1:12" x14ac:dyDescent="0.25">
      <c r="A114" t="s">
        <v>661</v>
      </c>
      <c r="B114" t="s">
        <v>10</v>
      </c>
      <c r="C114" t="s">
        <v>1102</v>
      </c>
      <c r="D114" t="s">
        <v>106</v>
      </c>
      <c r="E114" t="s">
        <v>1103</v>
      </c>
      <c r="F114" t="s">
        <v>1104</v>
      </c>
      <c r="G114" t="s">
        <v>1104</v>
      </c>
      <c r="I114" t="s">
        <v>888</v>
      </c>
      <c r="J114" t="s">
        <v>1278</v>
      </c>
      <c r="K114" t="s">
        <v>1003</v>
      </c>
      <c r="L114" t="s">
        <v>1101</v>
      </c>
    </row>
    <row r="115" spans="1:12" x14ac:dyDescent="0.25">
      <c r="A115" t="s">
        <v>661</v>
      </c>
      <c r="B115" t="s">
        <v>10</v>
      </c>
      <c r="C115" t="s">
        <v>1105</v>
      </c>
      <c r="D115" t="s">
        <v>106</v>
      </c>
      <c r="E115" t="s">
        <v>1106</v>
      </c>
      <c r="F115" t="s">
        <v>1107</v>
      </c>
      <c r="G115" t="s">
        <v>1107</v>
      </c>
      <c r="I115" t="s">
        <v>888</v>
      </c>
      <c r="J115" t="s">
        <v>1279</v>
      </c>
      <c r="K115" t="s">
        <v>1003</v>
      </c>
      <c r="L115" t="s">
        <v>1101</v>
      </c>
    </row>
    <row r="116" spans="1:12" x14ac:dyDescent="0.25">
      <c r="A116" t="s">
        <v>661</v>
      </c>
      <c r="B116" t="s">
        <v>10</v>
      </c>
      <c r="C116" t="s">
        <v>1108</v>
      </c>
      <c r="D116" t="s">
        <v>106</v>
      </c>
      <c r="E116" t="s">
        <v>1109</v>
      </c>
      <c r="F116" t="s">
        <v>1110</v>
      </c>
      <c r="G116" t="s">
        <v>1110</v>
      </c>
      <c r="I116" t="s">
        <v>888</v>
      </c>
      <c r="J116" t="s">
        <v>1280</v>
      </c>
      <c r="K116" t="s">
        <v>1003</v>
      </c>
      <c r="L116" t="s">
        <v>1101</v>
      </c>
    </row>
    <row r="117" spans="1:12" x14ac:dyDescent="0.25">
      <c r="A117" t="s">
        <v>661</v>
      </c>
      <c r="B117" t="s">
        <v>10</v>
      </c>
      <c r="C117" t="s">
        <v>1111</v>
      </c>
      <c r="D117" t="s">
        <v>106</v>
      </c>
      <c r="E117" t="s">
        <v>1112</v>
      </c>
      <c r="F117" t="s">
        <v>1113</v>
      </c>
      <c r="G117" t="s">
        <v>1113</v>
      </c>
      <c r="I117" t="s">
        <v>888</v>
      </c>
      <c r="J117" t="s">
        <v>1281</v>
      </c>
      <c r="K117" t="s">
        <v>1003</v>
      </c>
      <c r="L117" t="s">
        <v>1101</v>
      </c>
    </row>
    <row r="118" spans="1:12" x14ac:dyDescent="0.25">
      <c r="A118" t="s">
        <v>661</v>
      </c>
      <c r="B118" t="s">
        <v>10</v>
      </c>
      <c r="C118" t="s">
        <v>1114</v>
      </c>
      <c r="D118" t="s">
        <v>106</v>
      </c>
      <c r="E118" t="s">
        <v>1115</v>
      </c>
      <c r="F118" t="s">
        <v>1116</v>
      </c>
      <c r="G118" t="s">
        <v>1116</v>
      </c>
      <c r="I118" t="s">
        <v>888</v>
      </c>
      <c r="J118" t="s">
        <v>1282</v>
      </c>
      <c r="K118" t="s">
        <v>1003</v>
      </c>
      <c r="L118" t="s">
        <v>1101</v>
      </c>
    </row>
    <row r="119" spans="1:12" x14ac:dyDescent="0.25">
      <c r="A119" t="s">
        <v>661</v>
      </c>
      <c r="B119" t="s">
        <v>10</v>
      </c>
      <c r="C119" t="s">
        <v>1117</v>
      </c>
      <c r="D119" t="s">
        <v>106</v>
      </c>
      <c r="E119" t="s">
        <v>1118</v>
      </c>
      <c r="F119" t="s">
        <v>1119</v>
      </c>
      <c r="G119" t="s">
        <v>1119</v>
      </c>
      <c r="I119" t="s">
        <v>888</v>
      </c>
      <c r="J119" t="s">
        <v>1283</v>
      </c>
      <c r="K119" t="s">
        <v>1003</v>
      </c>
      <c r="L119" t="s">
        <v>1101</v>
      </c>
    </row>
    <row r="120" spans="1:12" x14ac:dyDescent="0.25">
      <c r="A120" t="s">
        <v>661</v>
      </c>
      <c r="B120" t="s">
        <v>10</v>
      </c>
      <c r="C120" t="s">
        <v>1120</v>
      </c>
      <c r="D120" t="s">
        <v>106</v>
      </c>
      <c r="E120" t="s">
        <v>1121</v>
      </c>
      <c r="F120" t="s">
        <v>1122</v>
      </c>
      <c r="G120" t="s">
        <v>1122</v>
      </c>
      <c r="I120" t="s">
        <v>888</v>
      </c>
      <c r="J120" t="s">
        <v>1284</v>
      </c>
      <c r="K120" t="s">
        <v>1003</v>
      </c>
      <c r="L120" t="s">
        <v>1101</v>
      </c>
    </row>
    <row r="121" spans="1:12" x14ac:dyDescent="0.25">
      <c r="A121" t="s">
        <v>678</v>
      </c>
      <c r="B121" t="s">
        <v>10</v>
      </c>
      <c r="C121" t="s">
        <v>1041</v>
      </c>
      <c r="D121" t="s">
        <v>12</v>
      </c>
      <c r="E121" t="s">
        <v>1041</v>
      </c>
      <c r="F121" t="s">
        <v>1042</v>
      </c>
      <c r="G121" t="s">
        <v>1043</v>
      </c>
      <c r="I121" t="s">
        <v>864</v>
      </c>
      <c r="J121" t="s">
        <v>1255</v>
      </c>
      <c r="K121" t="s">
        <v>12</v>
      </c>
    </row>
    <row r="122" spans="1:12" x14ac:dyDescent="0.25">
      <c r="A122" t="s">
        <v>678</v>
      </c>
      <c r="B122" t="s">
        <v>10</v>
      </c>
      <c r="C122" t="s">
        <v>1044</v>
      </c>
      <c r="D122" t="s">
        <v>12</v>
      </c>
      <c r="E122" t="s">
        <v>1044</v>
      </c>
      <c r="F122" t="s">
        <v>1045</v>
      </c>
      <c r="G122" t="s">
        <v>1046</v>
      </c>
      <c r="I122" t="s">
        <v>864</v>
      </c>
      <c r="J122" t="s">
        <v>1256</v>
      </c>
      <c r="K122" t="s">
        <v>12</v>
      </c>
    </row>
    <row r="123" spans="1:12" x14ac:dyDescent="0.25">
      <c r="A123" t="s">
        <v>677</v>
      </c>
      <c r="B123" t="s">
        <v>10</v>
      </c>
      <c r="C123" t="s">
        <v>1018</v>
      </c>
      <c r="D123" t="s">
        <v>12</v>
      </c>
      <c r="E123" t="s">
        <v>1018</v>
      </c>
      <c r="F123" t="s">
        <v>1019</v>
      </c>
      <c r="G123" t="s">
        <v>1019</v>
      </c>
      <c r="I123" t="s">
        <v>864</v>
      </c>
      <c r="J123" t="s">
        <v>1248</v>
      </c>
      <c r="K123" t="s">
        <v>12</v>
      </c>
    </row>
    <row r="124" spans="1:12" x14ac:dyDescent="0.25">
      <c r="A124" t="s">
        <v>677</v>
      </c>
      <c r="B124" t="s">
        <v>10</v>
      </c>
      <c r="C124" t="s">
        <v>1020</v>
      </c>
      <c r="D124" t="s">
        <v>12</v>
      </c>
      <c r="E124" t="s">
        <v>1020</v>
      </c>
      <c r="F124" t="s">
        <v>1021</v>
      </c>
      <c r="G124" t="s">
        <v>1021</v>
      </c>
      <c r="I124" t="s">
        <v>864</v>
      </c>
      <c r="J124" t="s">
        <v>1249</v>
      </c>
      <c r="K124" t="s">
        <v>12</v>
      </c>
    </row>
    <row r="125" spans="1:12" x14ac:dyDescent="0.25">
      <c r="A125" t="s">
        <v>677</v>
      </c>
      <c r="B125" t="s">
        <v>10</v>
      </c>
      <c r="C125" t="s">
        <v>1022</v>
      </c>
      <c r="D125" t="s">
        <v>12</v>
      </c>
      <c r="E125" t="s">
        <v>1022</v>
      </c>
      <c r="F125" t="s">
        <v>1023</v>
      </c>
      <c r="G125" t="s">
        <v>1023</v>
      </c>
      <c r="I125" t="s">
        <v>864</v>
      </c>
      <c r="J125" t="s">
        <v>1250</v>
      </c>
      <c r="K125" t="s">
        <v>12</v>
      </c>
    </row>
    <row r="126" spans="1:12" x14ac:dyDescent="0.25">
      <c r="A126" t="s">
        <v>685</v>
      </c>
      <c r="B126" t="s">
        <v>10</v>
      </c>
      <c r="C126" t="s">
        <v>11</v>
      </c>
      <c r="D126" t="s">
        <v>12</v>
      </c>
      <c r="E126" t="s">
        <v>11</v>
      </c>
      <c r="F126" t="s">
        <v>863</v>
      </c>
      <c r="G126" t="s">
        <v>863</v>
      </c>
      <c r="I126" t="s">
        <v>864</v>
      </c>
      <c r="J126" t="s">
        <v>1193</v>
      </c>
      <c r="K126" t="s">
        <v>12</v>
      </c>
    </row>
    <row r="127" spans="1:12" x14ac:dyDescent="0.25">
      <c r="A127" t="s">
        <v>685</v>
      </c>
      <c r="B127" t="s">
        <v>10</v>
      </c>
      <c r="C127" t="s">
        <v>17</v>
      </c>
      <c r="D127" t="s">
        <v>12</v>
      </c>
      <c r="E127" t="s">
        <v>17</v>
      </c>
      <c r="F127" t="s">
        <v>865</v>
      </c>
      <c r="G127" t="s">
        <v>865</v>
      </c>
      <c r="I127" t="s">
        <v>864</v>
      </c>
      <c r="J127" t="s">
        <v>1194</v>
      </c>
      <c r="K127" t="s">
        <v>12</v>
      </c>
    </row>
    <row r="128" spans="1:12" x14ac:dyDescent="0.25">
      <c r="A128" t="s">
        <v>685</v>
      </c>
      <c r="B128" t="s">
        <v>10</v>
      </c>
      <c r="C128" t="s">
        <v>21</v>
      </c>
      <c r="D128" t="s">
        <v>12</v>
      </c>
      <c r="E128" t="s">
        <v>21</v>
      </c>
      <c r="F128" t="s">
        <v>866</v>
      </c>
      <c r="G128" t="s">
        <v>866</v>
      </c>
      <c r="I128" t="s">
        <v>864</v>
      </c>
      <c r="J128" t="s">
        <v>1195</v>
      </c>
      <c r="K128" t="s">
        <v>12</v>
      </c>
    </row>
    <row r="129" spans="1:11" x14ac:dyDescent="0.25">
      <c r="A129" t="s">
        <v>685</v>
      </c>
      <c r="B129" t="s">
        <v>10</v>
      </c>
      <c r="C129" t="s">
        <v>25</v>
      </c>
      <c r="D129" t="s">
        <v>12</v>
      </c>
      <c r="E129" t="s">
        <v>25</v>
      </c>
      <c r="F129" t="s">
        <v>867</v>
      </c>
      <c r="G129" t="s">
        <v>867</v>
      </c>
      <c r="I129" t="s">
        <v>864</v>
      </c>
      <c r="J129" t="s">
        <v>1196</v>
      </c>
      <c r="K129" t="s">
        <v>12</v>
      </c>
    </row>
    <row r="130" spans="1:11" x14ac:dyDescent="0.25">
      <c r="A130" t="s">
        <v>685</v>
      </c>
      <c r="B130" t="s">
        <v>10</v>
      </c>
      <c r="C130" t="s">
        <v>29</v>
      </c>
      <c r="D130" t="s">
        <v>12</v>
      </c>
      <c r="E130" t="s">
        <v>29</v>
      </c>
      <c r="F130" t="s">
        <v>868</v>
      </c>
      <c r="G130" t="s">
        <v>868</v>
      </c>
      <c r="I130" t="s">
        <v>864</v>
      </c>
      <c r="J130" t="s">
        <v>1197</v>
      </c>
      <c r="K130" t="s">
        <v>12</v>
      </c>
    </row>
    <row r="131" spans="1:11" x14ac:dyDescent="0.25">
      <c r="A131" t="s">
        <v>685</v>
      </c>
      <c r="B131" t="s">
        <v>10</v>
      </c>
      <c r="C131" t="s">
        <v>34</v>
      </c>
      <c r="D131" t="s">
        <v>12</v>
      </c>
      <c r="E131" t="s">
        <v>34</v>
      </c>
      <c r="F131" t="s">
        <v>869</v>
      </c>
      <c r="G131" t="s">
        <v>869</v>
      </c>
      <c r="I131" t="s">
        <v>864</v>
      </c>
      <c r="J131" t="s">
        <v>1198</v>
      </c>
      <c r="K131" t="s">
        <v>12</v>
      </c>
    </row>
    <row r="132" spans="1:11" x14ac:dyDescent="0.25">
      <c r="A132" t="s">
        <v>685</v>
      </c>
      <c r="B132" t="s">
        <v>10</v>
      </c>
      <c r="C132" t="s">
        <v>38</v>
      </c>
      <c r="D132" t="s">
        <v>12</v>
      </c>
      <c r="E132" t="s">
        <v>38</v>
      </c>
      <c r="F132" t="s">
        <v>870</v>
      </c>
      <c r="G132" t="s">
        <v>870</v>
      </c>
      <c r="I132" t="s">
        <v>864</v>
      </c>
      <c r="J132" t="s">
        <v>1199</v>
      </c>
      <c r="K132" t="s">
        <v>12</v>
      </c>
    </row>
    <row r="133" spans="1:11" x14ac:dyDescent="0.25">
      <c r="A133" t="s">
        <v>685</v>
      </c>
      <c r="B133" t="s">
        <v>10</v>
      </c>
      <c r="C133" t="s">
        <v>42</v>
      </c>
      <c r="D133" t="s">
        <v>12</v>
      </c>
      <c r="E133" t="s">
        <v>42</v>
      </c>
      <c r="F133" t="s">
        <v>871</v>
      </c>
      <c r="G133" t="s">
        <v>871</v>
      </c>
      <c r="I133" t="s">
        <v>864</v>
      </c>
      <c r="J133" t="s">
        <v>1200</v>
      </c>
      <c r="K133" t="s">
        <v>12</v>
      </c>
    </row>
    <row r="134" spans="1:11" x14ac:dyDescent="0.25">
      <c r="A134" t="s">
        <v>685</v>
      </c>
      <c r="B134" t="s">
        <v>10</v>
      </c>
      <c r="C134" t="s">
        <v>46</v>
      </c>
      <c r="D134" t="s">
        <v>12</v>
      </c>
      <c r="E134" t="s">
        <v>46</v>
      </c>
      <c r="F134" t="s">
        <v>872</v>
      </c>
      <c r="G134" t="s">
        <v>872</v>
      </c>
      <c r="I134" t="s">
        <v>864</v>
      </c>
      <c r="J134" t="s">
        <v>1201</v>
      </c>
      <c r="K134" t="s">
        <v>12</v>
      </c>
    </row>
    <row r="135" spans="1:11" x14ac:dyDescent="0.25">
      <c r="A135" t="s">
        <v>685</v>
      </c>
      <c r="B135" t="s">
        <v>10</v>
      </c>
      <c r="C135" t="s">
        <v>50</v>
      </c>
      <c r="D135" t="s">
        <v>12</v>
      </c>
      <c r="E135" t="s">
        <v>50</v>
      </c>
      <c r="F135" t="s">
        <v>873</v>
      </c>
      <c r="G135" t="s">
        <v>873</v>
      </c>
      <c r="I135" t="s">
        <v>864</v>
      </c>
      <c r="J135" t="s">
        <v>1202</v>
      </c>
      <c r="K135" t="s">
        <v>12</v>
      </c>
    </row>
    <row r="136" spans="1:11" x14ac:dyDescent="0.25">
      <c r="A136" t="s">
        <v>685</v>
      </c>
      <c r="B136" t="s">
        <v>10</v>
      </c>
      <c r="C136" t="s">
        <v>54</v>
      </c>
      <c r="D136" t="s">
        <v>12</v>
      </c>
      <c r="E136" t="s">
        <v>54</v>
      </c>
      <c r="F136" t="s">
        <v>874</v>
      </c>
      <c r="G136" t="s">
        <v>874</v>
      </c>
      <c r="I136" t="s">
        <v>864</v>
      </c>
      <c r="J136" t="s">
        <v>1203</v>
      </c>
      <c r="K136" t="s">
        <v>12</v>
      </c>
    </row>
    <row r="137" spans="1:11" x14ac:dyDescent="0.25">
      <c r="A137" t="s">
        <v>685</v>
      </c>
      <c r="B137" t="s">
        <v>10</v>
      </c>
      <c r="C137" t="s">
        <v>58</v>
      </c>
      <c r="D137" t="s">
        <v>12</v>
      </c>
      <c r="E137" t="s">
        <v>58</v>
      </c>
      <c r="F137" t="s">
        <v>875</v>
      </c>
      <c r="G137" t="s">
        <v>875</v>
      </c>
      <c r="I137" t="s">
        <v>864</v>
      </c>
      <c r="J137" t="s">
        <v>1204</v>
      </c>
      <c r="K137" t="s">
        <v>12</v>
      </c>
    </row>
    <row r="138" spans="1:11" x14ac:dyDescent="0.25">
      <c r="A138" t="s">
        <v>685</v>
      </c>
      <c r="B138" t="s">
        <v>10</v>
      </c>
      <c r="C138" t="s">
        <v>876</v>
      </c>
      <c r="D138" t="s">
        <v>12</v>
      </c>
      <c r="E138" t="s">
        <v>876</v>
      </c>
      <c r="F138" t="s">
        <v>877</v>
      </c>
      <c r="G138" t="s">
        <v>877</v>
      </c>
      <c r="I138" t="s">
        <v>864</v>
      </c>
      <c r="J138" t="s">
        <v>1205</v>
      </c>
      <c r="K138" t="s">
        <v>12</v>
      </c>
    </row>
    <row r="139" spans="1:11" x14ac:dyDescent="0.25">
      <c r="A139" t="s">
        <v>685</v>
      </c>
      <c r="B139" t="s">
        <v>10</v>
      </c>
      <c r="C139" t="s">
        <v>878</v>
      </c>
      <c r="D139" t="s">
        <v>12</v>
      </c>
      <c r="E139" t="s">
        <v>878</v>
      </c>
      <c r="F139" t="s">
        <v>879</v>
      </c>
      <c r="G139" t="s">
        <v>879</v>
      </c>
      <c r="I139" t="s">
        <v>864</v>
      </c>
      <c r="J139" t="s">
        <v>1206</v>
      </c>
      <c r="K139" t="s">
        <v>12</v>
      </c>
    </row>
    <row r="140" spans="1:11" x14ac:dyDescent="0.25">
      <c r="A140" t="s">
        <v>685</v>
      </c>
      <c r="B140" t="s">
        <v>10</v>
      </c>
      <c r="C140" t="s">
        <v>880</v>
      </c>
      <c r="D140" t="s">
        <v>12</v>
      </c>
      <c r="E140" t="s">
        <v>880</v>
      </c>
      <c r="F140" t="s">
        <v>881</v>
      </c>
      <c r="G140" t="s">
        <v>881</v>
      </c>
      <c r="I140" t="s">
        <v>864</v>
      </c>
      <c r="J140" t="s">
        <v>1207</v>
      </c>
      <c r="K140" t="s">
        <v>12</v>
      </c>
    </row>
    <row r="141" spans="1:11" x14ac:dyDescent="0.25">
      <c r="A141" t="s">
        <v>685</v>
      </c>
      <c r="B141" t="s">
        <v>10</v>
      </c>
      <c r="C141" t="s">
        <v>882</v>
      </c>
      <c r="D141" t="s">
        <v>12</v>
      </c>
      <c r="E141" t="s">
        <v>882</v>
      </c>
      <c r="F141" t="s">
        <v>883</v>
      </c>
      <c r="G141" t="s">
        <v>883</v>
      </c>
      <c r="I141" t="s">
        <v>864</v>
      </c>
      <c r="J141" t="s">
        <v>1208</v>
      </c>
      <c r="K141" t="s">
        <v>12</v>
      </c>
    </row>
    <row r="142" spans="1:11" x14ac:dyDescent="0.25">
      <c r="A142" t="s">
        <v>741</v>
      </c>
      <c r="B142" t="s">
        <v>10</v>
      </c>
      <c r="C142" t="s">
        <v>742</v>
      </c>
      <c r="D142" t="s">
        <v>12</v>
      </c>
      <c r="E142" t="s">
        <v>742</v>
      </c>
      <c r="F142" t="s">
        <v>1129</v>
      </c>
      <c r="G142" t="s">
        <v>1129</v>
      </c>
      <c r="I142" t="s">
        <v>864</v>
      </c>
      <c r="J142" t="s">
        <v>1285</v>
      </c>
      <c r="K142" t="s">
        <v>12</v>
      </c>
    </row>
    <row r="143" spans="1:11" x14ac:dyDescent="0.25">
      <c r="A143" t="s">
        <v>741</v>
      </c>
      <c r="B143" t="s">
        <v>10</v>
      </c>
      <c r="C143" t="s">
        <v>743</v>
      </c>
      <c r="D143" t="s">
        <v>12</v>
      </c>
      <c r="E143" t="s">
        <v>743</v>
      </c>
      <c r="F143" t="s">
        <v>1130</v>
      </c>
      <c r="G143" t="s">
        <v>1130</v>
      </c>
      <c r="I143" t="s">
        <v>864</v>
      </c>
      <c r="J143" t="s">
        <v>1286</v>
      </c>
      <c r="K143" t="s">
        <v>12</v>
      </c>
    </row>
    <row r="144" spans="1:11" x14ac:dyDescent="0.25">
      <c r="A144" t="s">
        <v>741</v>
      </c>
      <c r="B144" t="s">
        <v>10</v>
      </c>
      <c r="C144" t="s">
        <v>744</v>
      </c>
      <c r="D144" t="s">
        <v>12</v>
      </c>
      <c r="E144" t="s">
        <v>744</v>
      </c>
      <c r="F144" t="s">
        <v>1131</v>
      </c>
      <c r="G144" t="s">
        <v>1131</v>
      </c>
      <c r="I144" t="s">
        <v>864</v>
      </c>
      <c r="J144" t="s">
        <v>1287</v>
      </c>
      <c r="K144" t="s">
        <v>12</v>
      </c>
    </row>
    <row r="145" spans="1:11" x14ac:dyDescent="0.25">
      <c r="A145" t="s">
        <v>741</v>
      </c>
      <c r="B145" t="s">
        <v>10</v>
      </c>
      <c r="C145" t="s">
        <v>745</v>
      </c>
      <c r="D145" t="s">
        <v>12</v>
      </c>
      <c r="E145" t="s">
        <v>745</v>
      </c>
      <c r="F145" t="s">
        <v>1132</v>
      </c>
      <c r="G145" t="s">
        <v>1132</v>
      </c>
      <c r="I145" t="s">
        <v>864</v>
      </c>
      <c r="J145" t="s">
        <v>1288</v>
      </c>
      <c r="K145" t="s">
        <v>12</v>
      </c>
    </row>
    <row r="146" spans="1:11" x14ac:dyDescent="0.25">
      <c r="A146" t="s">
        <v>741</v>
      </c>
      <c r="B146" t="s">
        <v>10</v>
      </c>
      <c r="C146" t="s">
        <v>746</v>
      </c>
      <c r="D146" t="s">
        <v>12</v>
      </c>
      <c r="E146" t="s">
        <v>746</v>
      </c>
      <c r="F146" t="s">
        <v>1133</v>
      </c>
      <c r="G146" t="s">
        <v>1133</v>
      </c>
      <c r="I146" t="s">
        <v>864</v>
      </c>
      <c r="J146" t="s">
        <v>1289</v>
      </c>
      <c r="K146" t="s">
        <v>12</v>
      </c>
    </row>
    <row r="147" spans="1:11" x14ac:dyDescent="0.25">
      <c r="A147" t="s">
        <v>741</v>
      </c>
      <c r="B147" t="s">
        <v>10</v>
      </c>
      <c r="C147" t="s">
        <v>747</v>
      </c>
      <c r="D147" t="s">
        <v>12</v>
      </c>
      <c r="E147" t="s">
        <v>747</v>
      </c>
      <c r="F147" t="s">
        <v>1134</v>
      </c>
      <c r="G147" t="s">
        <v>1134</v>
      </c>
      <c r="I147" t="s">
        <v>864</v>
      </c>
      <c r="J147" t="s">
        <v>1290</v>
      </c>
      <c r="K147" t="s">
        <v>12</v>
      </c>
    </row>
    <row r="148" spans="1:11" x14ac:dyDescent="0.25">
      <c r="A148" t="s">
        <v>741</v>
      </c>
      <c r="B148" t="s">
        <v>10</v>
      </c>
      <c r="C148" t="s">
        <v>748</v>
      </c>
      <c r="D148" t="s">
        <v>12</v>
      </c>
      <c r="E148" t="s">
        <v>748</v>
      </c>
      <c r="F148" t="s">
        <v>1135</v>
      </c>
      <c r="G148" t="s">
        <v>1135</v>
      </c>
      <c r="I148" t="s">
        <v>864</v>
      </c>
      <c r="J148" t="s">
        <v>1291</v>
      </c>
      <c r="K148" t="s">
        <v>12</v>
      </c>
    </row>
    <row r="149" spans="1:11" x14ac:dyDescent="0.25">
      <c r="A149" t="s">
        <v>741</v>
      </c>
      <c r="B149" t="s">
        <v>10</v>
      </c>
      <c r="C149" t="s">
        <v>749</v>
      </c>
      <c r="D149" t="s">
        <v>12</v>
      </c>
      <c r="E149" t="s">
        <v>749</v>
      </c>
      <c r="F149" t="s">
        <v>1136</v>
      </c>
      <c r="G149" t="s">
        <v>1136</v>
      </c>
      <c r="I149" t="s">
        <v>864</v>
      </c>
      <c r="J149" t="s">
        <v>1292</v>
      </c>
      <c r="K149" t="s">
        <v>12</v>
      </c>
    </row>
    <row r="150" spans="1:11" x14ac:dyDescent="0.25">
      <c r="A150" t="s">
        <v>750</v>
      </c>
      <c r="B150" t="s">
        <v>10</v>
      </c>
      <c r="C150" t="s">
        <v>939</v>
      </c>
      <c r="D150" t="s">
        <v>12</v>
      </c>
      <c r="E150" t="s">
        <v>939</v>
      </c>
      <c r="F150" t="s">
        <v>940</v>
      </c>
      <c r="G150" t="s">
        <v>1137</v>
      </c>
      <c r="I150" t="s">
        <v>864</v>
      </c>
      <c r="J150" t="s">
        <v>1226</v>
      </c>
      <c r="K150" t="s">
        <v>12</v>
      </c>
    </row>
    <row r="151" spans="1:11" x14ac:dyDescent="0.25">
      <c r="A151" t="s">
        <v>750</v>
      </c>
      <c r="B151" t="s">
        <v>10</v>
      </c>
      <c r="C151" t="s">
        <v>947</v>
      </c>
      <c r="D151" t="s">
        <v>12</v>
      </c>
      <c r="E151" t="s">
        <v>947</v>
      </c>
      <c r="F151" t="s">
        <v>948</v>
      </c>
      <c r="G151" t="s">
        <v>1061</v>
      </c>
      <c r="I151" t="s">
        <v>864</v>
      </c>
      <c r="J151" t="s">
        <v>1228</v>
      </c>
      <c r="K151" t="s">
        <v>12</v>
      </c>
    </row>
    <row r="152" spans="1:11" x14ac:dyDescent="0.25">
      <c r="A152" t="s">
        <v>774</v>
      </c>
      <c r="B152" t="s">
        <v>10</v>
      </c>
      <c r="C152" t="s">
        <v>1138</v>
      </c>
      <c r="D152" t="s">
        <v>12</v>
      </c>
      <c r="E152" t="s">
        <v>1138</v>
      </c>
      <c r="F152" t="s">
        <v>1139</v>
      </c>
      <c r="G152">
        <v>0</v>
      </c>
      <c r="H152">
        <v>3.3680679769999999</v>
      </c>
      <c r="I152" t="s">
        <v>864</v>
      </c>
      <c r="J152" t="s">
        <v>1293</v>
      </c>
      <c r="K152" t="s">
        <v>12</v>
      </c>
    </row>
    <row r="153" spans="1:11" x14ac:dyDescent="0.25">
      <c r="A153" t="s">
        <v>774</v>
      </c>
      <c r="B153" t="s">
        <v>10</v>
      </c>
      <c r="C153" t="s">
        <v>1140</v>
      </c>
      <c r="D153" t="s">
        <v>12</v>
      </c>
      <c r="E153" t="s">
        <v>1140</v>
      </c>
      <c r="F153" t="s">
        <v>1141</v>
      </c>
      <c r="G153">
        <v>0</v>
      </c>
      <c r="H153">
        <v>3.4836500770000001</v>
      </c>
      <c r="I153" t="s">
        <v>864</v>
      </c>
      <c r="J153" t="s">
        <v>1294</v>
      </c>
      <c r="K153" t="s">
        <v>12</v>
      </c>
    </row>
    <row r="154" spans="1:11" x14ac:dyDescent="0.25">
      <c r="A154" t="s">
        <v>774</v>
      </c>
      <c r="B154" t="s">
        <v>10</v>
      </c>
      <c r="C154" t="s">
        <v>1142</v>
      </c>
      <c r="D154" t="s">
        <v>12</v>
      </c>
      <c r="E154" t="s">
        <v>1142</v>
      </c>
      <c r="F154" t="s">
        <v>1143</v>
      </c>
      <c r="G154">
        <v>0</v>
      </c>
      <c r="H154">
        <v>3.6220136969999999</v>
      </c>
      <c r="I154" t="s">
        <v>864</v>
      </c>
      <c r="J154" t="s">
        <v>1295</v>
      </c>
      <c r="K154" t="s">
        <v>12</v>
      </c>
    </row>
    <row r="155" spans="1:11" x14ac:dyDescent="0.25">
      <c r="A155" t="s">
        <v>774</v>
      </c>
      <c r="B155" t="s">
        <v>10</v>
      </c>
      <c r="C155" t="s">
        <v>1144</v>
      </c>
      <c r="D155" t="s">
        <v>12</v>
      </c>
      <c r="E155" t="s">
        <v>1144</v>
      </c>
      <c r="F155" t="s">
        <v>1145</v>
      </c>
      <c r="G155">
        <v>0</v>
      </c>
      <c r="H155">
        <v>0.58569793800000003</v>
      </c>
      <c r="I155" t="s">
        <v>864</v>
      </c>
      <c r="J155" t="s">
        <v>1296</v>
      </c>
      <c r="K155" t="s">
        <v>12</v>
      </c>
    </row>
    <row r="156" spans="1:11" x14ac:dyDescent="0.25">
      <c r="A156" t="s">
        <v>774</v>
      </c>
      <c r="B156" t="s">
        <v>10</v>
      </c>
      <c r="C156" t="s">
        <v>1146</v>
      </c>
      <c r="D156" t="s">
        <v>12</v>
      </c>
      <c r="E156" t="s">
        <v>1146</v>
      </c>
      <c r="F156" t="s">
        <v>1147</v>
      </c>
      <c r="G156">
        <v>0</v>
      </c>
      <c r="H156">
        <v>0.52803416299999995</v>
      </c>
      <c r="I156" t="s">
        <v>864</v>
      </c>
      <c r="J156" t="s">
        <v>1297</v>
      </c>
      <c r="K156" t="s">
        <v>12</v>
      </c>
    </row>
    <row r="157" spans="1:11" x14ac:dyDescent="0.25">
      <c r="A157" t="s">
        <v>774</v>
      </c>
      <c r="B157" t="s">
        <v>10</v>
      </c>
      <c r="C157" t="s">
        <v>1148</v>
      </c>
      <c r="D157" t="s">
        <v>12</v>
      </c>
      <c r="E157" t="s">
        <v>1148</v>
      </c>
      <c r="F157" t="s">
        <v>1149</v>
      </c>
      <c r="G157">
        <v>0.829223669</v>
      </c>
      <c r="I157" t="s">
        <v>864</v>
      </c>
      <c r="J157" t="s">
        <v>1298</v>
      </c>
      <c r="K157" t="s">
        <v>12</v>
      </c>
    </row>
    <row r="158" spans="1:11" x14ac:dyDescent="0.25">
      <c r="A158" t="s">
        <v>774</v>
      </c>
      <c r="B158" t="s">
        <v>10</v>
      </c>
      <c r="C158" t="s">
        <v>1150</v>
      </c>
      <c r="D158" t="s">
        <v>12</v>
      </c>
      <c r="E158" t="s">
        <v>1150</v>
      </c>
      <c r="F158" t="s">
        <v>1151</v>
      </c>
      <c r="G158">
        <v>1.7603693300000001</v>
      </c>
      <c r="I158" t="s">
        <v>864</v>
      </c>
      <c r="J158" t="s">
        <v>1299</v>
      </c>
      <c r="K158" t="s">
        <v>12</v>
      </c>
    </row>
    <row r="159" spans="1:11" x14ac:dyDescent="0.25">
      <c r="A159" t="s">
        <v>774</v>
      </c>
      <c r="B159" t="s">
        <v>10</v>
      </c>
      <c r="C159" t="s">
        <v>1152</v>
      </c>
      <c r="D159" t="s">
        <v>12</v>
      </c>
      <c r="E159" t="s">
        <v>1152</v>
      </c>
      <c r="F159" t="s">
        <v>1153</v>
      </c>
      <c r="G159">
        <v>1.4295629160000001</v>
      </c>
      <c r="I159" t="s">
        <v>864</v>
      </c>
      <c r="J159" t="s">
        <v>1300</v>
      </c>
      <c r="K159" t="s">
        <v>12</v>
      </c>
    </row>
    <row r="160" spans="1:11" x14ac:dyDescent="0.25">
      <c r="A160" t="s">
        <v>774</v>
      </c>
      <c r="B160" t="s">
        <v>10</v>
      </c>
      <c r="C160" t="s">
        <v>1154</v>
      </c>
      <c r="D160" t="s">
        <v>12</v>
      </c>
      <c r="E160" t="s">
        <v>1154</v>
      </c>
      <c r="F160" t="s">
        <v>1155</v>
      </c>
      <c r="G160">
        <v>1.729229549</v>
      </c>
      <c r="I160" t="s">
        <v>864</v>
      </c>
      <c r="J160" t="s">
        <v>1301</v>
      </c>
      <c r="K160" t="s">
        <v>12</v>
      </c>
    </row>
    <row r="161" spans="1:12" x14ac:dyDescent="0.25">
      <c r="A161" t="s">
        <v>774</v>
      </c>
      <c r="B161" t="s">
        <v>10</v>
      </c>
      <c r="C161" t="s">
        <v>1156</v>
      </c>
      <c r="D161" t="s">
        <v>12</v>
      </c>
      <c r="E161" t="s">
        <v>1156</v>
      </c>
      <c r="F161" t="s">
        <v>1157</v>
      </c>
      <c r="G161">
        <v>1.055966894</v>
      </c>
      <c r="I161" t="s">
        <v>864</v>
      </c>
      <c r="J161" t="s">
        <v>1302</v>
      </c>
      <c r="K161" t="s">
        <v>12</v>
      </c>
    </row>
    <row r="162" spans="1:12" x14ac:dyDescent="0.25">
      <c r="A162" t="s">
        <v>774</v>
      </c>
      <c r="B162" t="s">
        <v>10</v>
      </c>
      <c r="C162" t="s">
        <v>1158</v>
      </c>
      <c r="D162" t="s">
        <v>12</v>
      </c>
      <c r="E162" t="s">
        <v>1158</v>
      </c>
      <c r="F162" t="s">
        <v>1159</v>
      </c>
      <c r="G162">
        <v>0</v>
      </c>
      <c r="H162">
        <v>0.49567073499999997</v>
      </c>
      <c r="I162" t="s">
        <v>864</v>
      </c>
      <c r="J162" t="s">
        <v>1303</v>
      </c>
      <c r="K162" t="s">
        <v>12</v>
      </c>
    </row>
    <row r="163" spans="1:12" x14ac:dyDescent="0.25">
      <c r="A163" t="s">
        <v>774</v>
      </c>
      <c r="B163" t="s">
        <v>10</v>
      </c>
      <c r="C163" t="s">
        <v>1160</v>
      </c>
      <c r="D163" t="s">
        <v>12</v>
      </c>
      <c r="E163" t="s">
        <v>1160</v>
      </c>
      <c r="F163" t="s">
        <v>1161</v>
      </c>
      <c r="G163">
        <v>0</v>
      </c>
      <c r="H163">
        <v>1.2502038369999999</v>
      </c>
      <c r="I163" t="s">
        <v>864</v>
      </c>
      <c r="J163" t="s">
        <v>1304</v>
      </c>
      <c r="K163" t="s">
        <v>12</v>
      </c>
    </row>
    <row r="164" spans="1:12" x14ac:dyDescent="0.25">
      <c r="A164" t="s">
        <v>774</v>
      </c>
      <c r="B164" t="s">
        <v>10</v>
      </c>
      <c r="C164" t="s">
        <v>1162</v>
      </c>
      <c r="D164" t="s">
        <v>12</v>
      </c>
      <c r="E164" t="s">
        <v>1162</v>
      </c>
      <c r="F164" t="s">
        <v>1163</v>
      </c>
      <c r="G164">
        <v>0</v>
      </c>
      <c r="H164">
        <v>0.91943923299999997</v>
      </c>
      <c r="I164" t="s">
        <v>864</v>
      </c>
      <c r="J164" t="s">
        <v>1305</v>
      </c>
      <c r="K164" t="s">
        <v>12</v>
      </c>
    </row>
    <row r="165" spans="1:12" x14ac:dyDescent="0.25">
      <c r="A165" t="s">
        <v>774</v>
      </c>
      <c r="B165" t="s">
        <v>10</v>
      </c>
      <c r="C165" t="s">
        <v>1164</v>
      </c>
      <c r="D165" t="s">
        <v>12</v>
      </c>
      <c r="E165" t="s">
        <v>1164</v>
      </c>
      <c r="F165" t="s">
        <v>1165</v>
      </c>
      <c r="G165">
        <v>1.708920107</v>
      </c>
      <c r="I165" t="s">
        <v>864</v>
      </c>
      <c r="J165" t="s">
        <v>1306</v>
      </c>
      <c r="K165" t="s">
        <v>12</v>
      </c>
    </row>
    <row r="166" spans="1:12" x14ac:dyDescent="0.25">
      <c r="A166" t="s">
        <v>774</v>
      </c>
      <c r="B166" t="s">
        <v>10</v>
      </c>
      <c r="C166" t="s">
        <v>1166</v>
      </c>
      <c r="D166" t="s">
        <v>12</v>
      </c>
      <c r="E166" t="s">
        <v>1166</v>
      </c>
      <c r="F166" t="s">
        <v>1167</v>
      </c>
      <c r="G166">
        <v>0</v>
      </c>
      <c r="H166">
        <v>0.63342547500000002</v>
      </c>
      <c r="I166" t="s">
        <v>864</v>
      </c>
      <c r="J166" t="s">
        <v>1307</v>
      </c>
      <c r="K166" t="s">
        <v>12</v>
      </c>
    </row>
    <row r="167" spans="1:12" x14ac:dyDescent="0.25">
      <c r="A167" t="s">
        <v>774</v>
      </c>
      <c r="B167" t="s">
        <v>10</v>
      </c>
      <c r="C167" t="s">
        <v>1168</v>
      </c>
      <c r="D167" t="s">
        <v>12</v>
      </c>
      <c r="E167" t="s">
        <v>1168</v>
      </c>
      <c r="F167" t="s">
        <v>1169</v>
      </c>
      <c r="G167">
        <v>0.42482515300000001</v>
      </c>
      <c r="I167" t="s">
        <v>864</v>
      </c>
      <c r="J167" t="s">
        <v>1308</v>
      </c>
      <c r="K167" t="s">
        <v>12</v>
      </c>
    </row>
    <row r="168" spans="1:12" x14ac:dyDescent="0.25">
      <c r="A168" t="s">
        <v>774</v>
      </c>
      <c r="B168" t="s">
        <v>10</v>
      </c>
      <c r="C168" t="s">
        <v>1170</v>
      </c>
      <c r="D168" t="s">
        <v>12</v>
      </c>
      <c r="E168" t="s">
        <v>1170</v>
      </c>
      <c r="F168" t="s">
        <v>1171</v>
      </c>
      <c r="G168">
        <v>0</v>
      </c>
      <c r="H168">
        <v>1.185756249</v>
      </c>
      <c r="I168" t="s">
        <v>864</v>
      </c>
      <c r="J168" t="s">
        <v>1309</v>
      </c>
      <c r="K168" t="s">
        <v>12</v>
      </c>
    </row>
    <row r="169" spans="1:12" x14ac:dyDescent="0.25">
      <c r="A169" t="s">
        <v>818</v>
      </c>
      <c r="B169" t="s">
        <v>10</v>
      </c>
      <c r="C169" t="s">
        <v>939</v>
      </c>
      <c r="D169" t="s">
        <v>12</v>
      </c>
      <c r="E169" t="s">
        <v>939</v>
      </c>
      <c r="F169" t="s">
        <v>940</v>
      </c>
      <c r="G169" t="s">
        <v>1137</v>
      </c>
      <c r="I169" t="s">
        <v>864</v>
      </c>
      <c r="J169" t="s">
        <v>1226</v>
      </c>
      <c r="K169" t="s">
        <v>12</v>
      </c>
    </row>
    <row r="170" spans="1:12" x14ac:dyDescent="0.25">
      <c r="A170" t="s">
        <v>818</v>
      </c>
      <c r="B170" t="s">
        <v>10</v>
      </c>
      <c r="C170" t="s">
        <v>947</v>
      </c>
      <c r="D170" t="s">
        <v>12</v>
      </c>
      <c r="E170" t="s">
        <v>947</v>
      </c>
      <c r="F170" t="s">
        <v>948</v>
      </c>
      <c r="G170" t="s">
        <v>1061</v>
      </c>
      <c r="I170" t="s">
        <v>864</v>
      </c>
      <c r="J170" t="s">
        <v>1228</v>
      </c>
      <c r="K170" t="s">
        <v>12</v>
      </c>
    </row>
    <row r="171" spans="1:12" x14ac:dyDescent="0.25">
      <c r="A171" t="s">
        <v>830</v>
      </c>
      <c r="B171" t="s">
        <v>831</v>
      </c>
      <c r="D171" t="s">
        <v>106</v>
      </c>
      <c r="E171" t="s">
        <v>985</v>
      </c>
      <c r="F171" t="s">
        <v>986</v>
      </c>
      <c r="I171" t="s">
        <v>888</v>
      </c>
      <c r="J171" t="s">
        <v>1243</v>
      </c>
      <c r="K171" t="s">
        <v>889</v>
      </c>
    </row>
    <row r="172" spans="1:12" x14ac:dyDescent="0.25">
      <c r="A172" t="s">
        <v>832</v>
      </c>
      <c r="B172" t="s">
        <v>831</v>
      </c>
      <c r="C172" t="s">
        <v>1172</v>
      </c>
      <c r="D172" t="s">
        <v>106</v>
      </c>
      <c r="E172" t="s">
        <v>1173</v>
      </c>
      <c r="F172" t="s">
        <v>1174</v>
      </c>
      <c r="G172" t="s">
        <v>1175</v>
      </c>
      <c r="I172" t="s">
        <v>888</v>
      </c>
      <c r="J172" t="s">
        <v>1310</v>
      </c>
      <c r="K172" t="s">
        <v>889</v>
      </c>
      <c r="L172" t="s">
        <v>1176</v>
      </c>
    </row>
    <row r="173" spans="1:12" x14ac:dyDescent="0.25">
      <c r="A173" t="s">
        <v>833</v>
      </c>
      <c r="B173" t="s">
        <v>831</v>
      </c>
      <c r="D173" t="s">
        <v>106</v>
      </c>
      <c r="E173" t="s">
        <v>985</v>
      </c>
      <c r="F173" t="s">
        <v>986</v>
      </c>
      <c r="I173" t="s">
        <v>888</v>
      </c>
      <c r="J173" t="s">
        <v>1243</v>
      </c>
      <c r="K173" t="s">
        <v>889</v>
      </c>
    </row>
    <row r="174" spans="1:12" x14ac:dyDescent="0.25">
      <c r="A174" t="s">
        <v>834</v>
      </c>
      <c r="B174" t="s">
        <v>831</v>
      </c>
      <c r="D174" t="s">
        <v>106</v>
      </c>
      <c r="J174" t="s">
        <v>1311</v>
      </c>
    </row>
    <row r="175" spans="1:12" x14ac:dyDescent="0.25">
      <c r="A175" t="s">
        <v>835</v>
      </c>
      <c r="B175" t="s">
        <v>831</v>
      </c>
      <c r="D175" t="s">
        <v>106</v>
      </c>
      <c r="E175" t="s">
        <v>985</v>
      </c>
      <c r="F175" t="s">
        <v>986</v>
      </c>
      <c r="I175" t="s">
        <v>888</v>
      </c>
      <c r="J175" t="s">
        <v>1243</v>
      </c>
      <c r="K175" t="s">
        <v>889</v>
      </c>
    </row>
    <row r="176" spans="1:12" x14ac:dyDescent="0.25">
      <c r="A176" t="s">
        <v>836</v>
      </c>
      <c r="B176" t="s">
        <v>831</v>
      </c>
      <c r="D176" t="s">
        <v>106</v>
      </c>
      <c r="J176" t="s">
        <v>1311</v>
      </c>
    </row>
    <row r="177" spans="1:11" x14ac:dyDescent="0.25">
      <c r="A177" t="s">
        <v>837</v>
      </c>
      <c r="B177" t="s">
        <v>831</v>
      </c>
      <c r="D177" t="s">
        <v>106</v>
      </c>
      <c r="J177" t="s">
        <v>1311</v>
      </c>
    </row>
    <row r="178" spans="1:11" x14ac:dyDescent="0.25">
      <c r="A178" t="s">
        <v>838</v>
      </c>
      <c r="B178" t="s">
        <v>831</v>
      </c>
      <c r="D178" t="s">
        <v>106</v>
      </c>
      <c r="J178" t="s">
        <v>1311</v>
      </c>
    </row>
    <row r="179" spans="1:11" x14ac:dyDescent="0.25">
      <c r="A179" t="s">
        <v>839</v>
      </c>
      <c r="B179" t="s">
        <v>831</v>
      </c>
      <c r="D179" t="s">
        <v>106</v>
      </c>
      <c r="J179" t="s">
        <v>1311</v>
      </c>
    </row>
    <row r="180" spans="1:11" x14ac:dyDescent="0.25">
      <c r="A180" t="s">
        <v>840</v>
      </c>
      <c r="B180" t="s">
        <v>831</v>
      </c>
      <c r="D180" t="s">
        <v>106</v>
      </c>
      <c r="E180" t="s">
        <v>1177</v>
      </c>
      <c r="F180" t="s">
        <v>1178</v>
      </c>
      <c r="G180" t="s">
        <v>1178</v>
      </c>
      <c r="I180" t="s">
        <v>888</v>
      </c>
      <c r="J180" t="s">
        <v>1312</v>
      </c>
      <c r="K180" t="s">
        <v>106</v>
      </c>
    </row>
    <row r="181" spans="1:11" x14ac:dyDescent="0.25">
      <c r="A181" t="s">
        <v>841</v>
      </c>
      <c r="B181" t="s">
        <v>831</v>
      </c>
      <c r="D181" t="s">
        <v>106</v>
      </c>
      <c r="E181" t="s">
        <v>985</v>
      </c>
      <c r="F181" t="s">
        <v>986</v>
      </c>
      <c r="I181" t="s">
        <v>888</v>
      </c>
      <c r="J181" t="s">
        <v>1243</v>
      </c>
      <c r="K181" t="s">
        <v>889</v>
      </c>
    </row>
    <row r="182" spans="1:11" x14ac:dyDescent="0.25">
      <c r="A182" t="s">
        <v>842</v>
      </c>
      <c r="B182" t="s">
        <v>831</v>
      </c>
      <c r="D182" t="s">
        <v>106</v>
      </c>
      <c r="E182" t="s">
        <v>985</v>
      </c>
      <c r="F182" t="s">
        <v>986</v>
      </c>
      <c r="I182" t="s">
        <v>888</v>
      </c>
      <c r="J182" t="s">
        <v>1243</v>
      </c>
      <c r="K182" t="s">
        <v>889</v>
      </c>
    </row>
    <row r="183" spans="1:11" x14ac:dyDescent="0.25">
      <c r="A183" t="s">
        <v>843</v>
      </c>
      <c r="B183" t="s">
        <v>831</v>
      </c>
      <c r="D183" t="s">
        <v>106</v>
      </c>
      <c r="E183" t="s">
        <v>985</v>
      </c>
      <c r="F183" t="s">
        <v>986</v>
      </c>
      <c r="I183" t="s">
        <v>888</v>
      </c>
      <c r="J183" t="s">
        <v>1243</v>
      </c>
      <c r="K183" t="s">
        <v>889</v>
      </c>
    </row>
    <row r="184" spans="1:11" x14ac:dyDescent="0.25">
      <c r="A184" t="s">
        <v>844</v>
      </c>
      <c r="B184" t="s">
        <v>831</v>
      </c>
      <c r="D184" t="s">
        <v>106</v>
      </c>
      <c r="J184" t="s">
        <v>1311</v>
      </c>
    </row>
    <row r="185" spans="1:11" x14ac:dyDescent="0.25">
      <c r="A185" t="s">
        <v>845</v>
      </c>
      <c r="B185" t="s">
        <v>831</v>
      </c>
      <c r="D185" t="s">
        <v>106</v>
      </c>
      <c r="E185" t="s">
        <v>985</v>
      </c>
      <c r="F185" t="s">
        <v>986</v>
      </c>
      <c r="I185" t="s">
        <v>888</v>
      </c>
      <c r="J185" t="s">
        <v>1243</v>
      </c>
      <c r="K185" t="s">
        <v>889</v>
      </c>
    </row>
    <row r="186" spans="1:11" x14ac:dyDescent="0.25">
      <c r="A186" t="s">
        <v>846</v>
      </c>
      <c r="B186" t="s">
        <v>831</v>
      </c>
      <c r="C186" t="s">
        <v>1179</v>
      </c>
      <c r="D186" t="s">
        <v>106</v>
      </c>
      <c r="E186" t="s">
        <v>1180</v>
      </c>
      <c r="F186" t="s">
        <v>1181</v>
      </c>
      <c r="G186" t="s">
        <v>1181</v>
      </c>
      <c r="I186" t="s">
        <v>888</v>
      </c>
      <c r="J186" t="s">
        <v>1313</v>
      </c>
      <c r="K186" t="s">
        <v>106</v>
      </c>
    </row>
    <row r="187" spans="1:11" x14ac:dyDescent="0.25">
      <c r="A187" t="s">
        <v>846</v>
      </c>
      <c r="B187" t="s">
        <v>831</v>
      </c>
      <c r="C187" t="s">
        <v>1182</v>
      </c>
      <c r="D187" t="s">
        <v>106</v>
      </c>
      <c r="E187" t="s">
        <v>1180</v>
      </c>
      <c r="F187" t="s">
        <v>1183</v>
      </c>
      <c r="G187" t="s">
        <v>1183</v>
      </c>
      <c r="I187" t="s">
        <v>888</v>
      </c>
      <c r="J187" t="s">
        <v>1313</v>
      </c>
      <c r="K187" t="s">
        <v>106</v>
      </c>
    </row>
    <row r="188" spans="1:11" x14ac:dyDescent="0.25">
      <c r="A188" t="s">
        <v>847</v>
      </c>
      <c r="B188" t="s">
        <v>831</v>
      </c>
      <c r="D188" t="s">
        <v>106</v>
      </c>
      <c r="J188" t="s">
        <v>1311</v>
      </c>
    </row>
    <row r="189" spans="1:11" x14ac:dyDescent="0.25">
      <c r="A189" t="s">
        <v>848</v>
      </c>
      <c r="B189" t="s">
        <v>831</v>
      </c>
      <c r="D189" t="s">
        <v>106</v>
      </c>
      <c r="E189" t="s">
        <v>985</v>
      </c>
      <c r="F189" t="s">
        <v>986</v>
      </c>
      <c r="I189" t="s">
        <v>888</v>
      </c>
      <c r="J189" t="s">
        <v>1243</v>
      </c>
      <c r="K189" t="s">
        <v>889</v>
      </c>
    </row>
    <row r="190" spans="1:11" x14ac:dyDescent="0.25">
      <c r="A190" t="s">
        <v>849</v>
      </c>
      <c r="B190" t="s">
        <v>831</v>
      </c>
      <c r="D190" t="s">
        <v>106</v>
      </c>
      <c r="E190" t="s">
        <v>985</v>
      </c>
      <c r="F190" t="s">
        <v>986</v>
      </c>
      <c r="I190" t="s">
        <v>888</v>
      </c>
      <c r="J190" t="s">
        <v>1243</v>
      </c>
      <c r="K190" t="s">
        <v>889</v>
      </c>
    </row>
    <row r="191" spans="1:11" x14ac:dyDescent="0.25">
      <c r="A191" t="s">
        <v>850</v>
      </c>
      <c r="B191" t="s">
        <v>831</v>
      </c>
      <c r="D191" t="s">
        <v>106</v>
      </c>
      <c r="J191" t="s">
        <v>1311</v>
      </c>
    </row>
    <row r="192" spans="1:11" x14ac:dyDescent="0.25">
      <c r="A192" t="s">
        <v>851</v>
      </c>
      <c r="B192" t="s">
        <v>831</v>
      </c>
      <c r="D192" t="s">
        <v>106</v>
      </c>
      <c r="E192" t="s">
        <v>985</v>
      </c>
      <c r="F192" t="s">
        <v>986</v>
      </c>
      <c r="I192" t="s">
        <v>888</v>
      </c>
      <c r="J192" t="s">
        <v>1243</v>
      </c>
      <c r="K192" t="s">
        <v>889</v>
      </c>
    </row>
    <row r="193" spans="1:10" x14ac:dyDescent="0.25">
      <c r="A193" t="s">
        <v>852</v>
      </c>
      <c r="B193" t="s">
        <v>831</v>
      </c>
      <c r="D193" t="s">
        <v>106</v>
      </c>
      <c r="J193" t="s">
        <v>1311</v>
      </c>
    </row>
    <row r="194" spans="1:10" x14ac:dyDescent="0.25">
      <c r="A194" t="s">
        <v>853</v>
      </c>
      <c r="B194" t="s">
        <v>831</v>
      </c>
      <c r="D194" t="s">
        <v>106</v>
      </c>
      <c r="J194" t="s">
        <v>1311</v>
      </c>
    </row>
    <row r="195" spans="1:10" x14ac:dyDescent="0.25">
      <c r="A195" t="s">
        <v>854</v>
      </c>
      <c r="B195" t="s">
        <v>831</v>
      </c>
      <c r="D195" t="s">
        <v>106</v>
      </c>
      <c r="J195" t="s">
        <v>1311</v>
      </c>
    </row>
  </sheetData>
  <autoFilter ref="A1:M195" xr:uid="{00000000-0001-0000-0600-000000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DC4AD-2D50-45A7-B323-E74BBFC6E484}">
  <dimension ref="A1:S219"/>
  <sheetViews>
    <sheetView zoomScale="85" zoomScaleNormal="85" workbookViewId="0">
      <pane ySplit="1" topLeftCell="A2" activePane="bottomLeft" state="frozen"/>
      <selection pane="bottomLeft" sqref="A1:A1048576"/>
    </sheetView>
  </sheetViews>
  <sheetFormatPr defaultColWidth="8.875" defaultRowHeight="15.75" x14ac:dyDescent="0.25"/>
  <cols>
    <col min="1" max="1" width="43.5" customWidth="1"/>
    <col min="3" max="3" width="20.125" customWidth="1"/>
    <col min="4" max="4" width="28.75" customWidth="1"/>
    <col min="5" max="5" width="20.125" customWidth="1"/>
    <col min="6" max="6" width="54.875" bestFit="1" customWidth="1"/>
    <col min="7" max="7" width="6" customWidth="1"/>
    <col min="8" max="8" width="14.125" bestFit="1" customWidth="1"/>
    <col min="9" max="9" width="11.375" bestFit="1" customWidth="1"/>
    <col min="10" max="10" width="17.375" customWidth="1"/>
    <col min="13" max="13" width="34.125" customWidth="1"/>
    <col min="14" max="14" width="25.5" customWidth="1"/>
    <col min="15" max="15" width="14.5" bestFit="1" customWidth="1"/>
    <col min="16" max="16" width="18.875" customWidth="1"/>
    <col min="17" max="17" width="14.875" bestFit="1" customWidth="1"/>
    <col min="18" max="18" width="18.875" bestFit="1" customWidth="1"/>
  </cols>
  <sheetData>
    <row r="1" spans="1:19" x14ac:dyDescent="0.25">
      <c r="A1" t="s">
        <v>1</v>
      </c>
      <c r="B1" t="s">
        <v>0</v>
      </c>
      <c r="C1" t="s">
        <v>1749</v>
      </c>
      <c r="D1" t="s">
        <v>1327</v>
      </c>
      <c r="E1" t="s">
        <v>1750</v>
      </c>
      <c r="F1" t="s">
        <v>2</v>
      </c>
      <c r="G1" t="s">
        <v>3</v>
      </c>
      <c r="H1" t="s">
        <v>856</v>
      </c>
      <c r="I1" t="s">
        <v>857</v>
      </c>
      <c r="J1" t="s">
        <v>4</v>
      </c>
      <c r="K1" t="s">
        <v>5</v>
      </c>
      <c r="L1" t="s">
        <v>6</v>
      </c>
      <c r="M1" t="s">
        <v>1186</v>
      </c>
      <c r="N1" t="s">
        <v>7</v>
      </c>
      <c r="O1" t="s">
        <v>1314</v>
      </c>
      <c r="P1" t="s">
        <v>1366</v>
      </c>
      <c r="Q1" t="s">
        <v>1315</v>
      </c>
      <c r="R1" t="s">
        <v>1367</v>
      </c>
      <c r="S1" t="s">
        <v>1189</v>
      </c>
    </row>
    <row r="2" spans="1:19" x14ac:dyDescent="0.25">
      <c r="A2" t="s">
        <v>9</v>
      </c>
      <c r="B2" t="s">
        <v>10</v>
      </c>
      <c r="D2" t="s">
        <v>1330</v>
      </c>
      <c r="F2" t="s">
        <v>11</v>
      </c>
      <c r="G2" t="s">
        <v>12</v>
      </c>
      <c r="H2" t="s">
        <v>863</v>
      </c>
      <c r="I2" t="s">
        <v>863</v>
      </c>
      <c r="J2">
        <v>0.64</v>
      </c>
      <c r="K2">
        <v>1.1499999999999999</v>
      </c>
      <c r="L2">
        <v>1.42</v>
      </c>
      <c r="M2" t="s">
        <v>1193</v>
      </c>
      <c r="N2" t="s">
        <v>16</v>
      </c>
      <c r="O2" t="s">
        <v>12</v>
      </c>
      <c r="Q2" t="s">
        <v>12</v>
      </c>
    </row>
    <row r="3" spans="1:19" x14ac:dyDescent="0.25">
      <c r="A3" t="s">
        <v>9</v>
      </c>
      <c r="B3" t="s">
        <v>10</v>
      </c>
      <c r="D3" t="s">
        <v>1330</v>
      </c>
      <c r="F3" t="s">
        <v>17</v>
      </c>
      <c r="G3" t="s">
        <v>12</v>
      </c>
      <c r="H3" t="s">
        <v>865</v>
      </c>
      <c r="I3" t="s">
        <v>865</v>
      </c>
      <c r="J3">
        <v>0.82</v>
      </c>
      <c r="K3">
        <v>1.57</v>
      </c>
      <c r="L3">
        <v>1.93</v>
      </c>
      <c r="M3" t="s">
        <v>1194</v>
      </c>
      <c r="N3" t="s">
        <v>16</v>
      </c>
      <c r="O3" t="s">
        <v>12</v>
      </c>
      <c r="Q3" t="s">
        <v>12</v>
      </c>
    </row>
    <row r="4" spans="1:19" x14ac:dyDescent="0.25">
      <c r="A4" t="s">
        <v>9</v>
      </c>
      <c r="B4" t="s">
        <v>10</v>
      </c>
      <c r="D4" t="s">
        <v>1330</v>
      </c>
      <c r="F4" t="s">
        <v>21</v>
      </c>
      <c r="G4" t="s">
        <v>12</v>
      </c>
      <c r="H4" t="s">
        <v>866</v>
      </c>
      <c r="I4" t="s">
        <v>866</v>
      </c>
      <c r="J4">
        <f>0.64+0.25</f>
        <v>0.89</v>
      </c>
      <c r="K4">
        <f>1.15+0.52</f>
        <v>1.67</v>
      </c>
      <c r="L4">
        <f>1.42+0.65</f>
        <v>2.0699999999999998</v>
      </c>
      <c r="M4" t="s">
        <v>1195</v>
      </c>
      <c r="N4" t="s">
        <v>16</v>
      </c>
      <c r="O4" t="s">
        <v>12</v>
      </c>
      <c r="Q4" t="s">
        <v>12</v>
      </c>
    </row>
    <row r="5" spans="1:19" x14ac:dyDescent="0.25">
      <c r="A5" t="s">
        <v>9</v>
      </c>
      <c r="B5" t="s">
        <v>10</v>
      </c>
      <c r="D5" t="s">
        <v>1330</v>
      </c>
      <c r="F5" t="s">
        <v>25</v>
      </c>
      <c r="G5" t="s">
        <v>12</v>
      </c>
      <c r="H5" t="s">
        <v>867</v>
      </c>
      <c r="I5" t="s">
        <v>867</v>
      </c>
      <c r="J5">
        <f>2*J2</f>
        <v>1.28</v>
      </c>
      <c r="K5">
        <f t="shared" ref="K5:L5" si="0">2*K2</f>
        <v>2.2999999999999998</v>
      </c>
      <c r="L5">
        <f t="shared" si="0"/>
        <v>2.84</v>
      </c>
      <c r="M5" t="s">
        <v>1196</v>
      </c>
      <c r="N5" t="s">
        <v>16</v>
      </c>
      <c r="O5" t="s">
        <v>12</v>
      </c>
      <c r="Q5" t="s">
        <v>12</v>
      </c>
    </row>
    <row r="6" spans="1:19" x14ac:dyDescent="0.25">
      <c r="A6" t="s">
        <v>9</v>
      </c>
      <c r="B6" t="s">
        <v>10</v>
      </c>
      <c r="D6" t="s">
        <v>1329</v>
      </c>
      <c r="F6" t="s">
        <v>29</v>
      </c>
      <c r="G6" t="s">
        <v>12</v>
      </c>
      <c r="H6" t="s">
        <v>868</v>
      </c>
      <c r="I6" t="s">
        <v>868</v>
      </c>
      <c r="J6">
        <v>1</v>
      </c>
      <c r="K6">
        <v>1.62</v>
      </c>
      <c r="L6">
        <v>2.11</v>
      </c>
      <c r="M6" t="s">
        <v>1197</v>
      </c>
      <c r="N6" t="s">
        <v>33</v>
      </c>
      <c r="O6" t="s">
        <v>12</v>
      </c>
      <c r="Q6" t="s">
        <v>12</v>
      </c>
    </row>
    <row r="7" spans="1:19" x14ac:dyDescent="0.25">
      <c r="A7" t="s">
        <v>9</v>
      </c>
      <c r="B7" t="s">
        <v>10</v>
      </c>
      <c r="D7" t="s">
        <v>1329</v>
      </c>
      <c r="F7" t="s">
        <v>34</v>
      </c>
      <c r="G7" t="s">
        <v>12</v>
      </c>
      <c r="H7" t="s">
        <v>869</v>
      </c>
      <c r="I7" t="s">
        <v>869</v>
      </c>
      <c r="J7">
        <v>1.58</v>
      </c>
      <c r="K7">
        <v>2.23</v>
      </c>
      <c r="L7">
        <v>2.8</v>
      </c>
      <c r="M7" t="s">
        <v>1198</v>
      </c>
      <c r="N7" t="s">
        <v>33</v>
      </c>
      <c r="O7" t="s">
        <v>12</v>
      </c>
      <c r="Q7" t="s">
        <v>12</v>
      </c>
    </row>
    <row r="8" spans="1:19" x14ac:dyDescent="0.25">
      <c r="A8" t="s">
        <v>9</v>
      </c>
      <c r="B8" t="s">
        <v>10</v>
      </c>
      <c r="D8" t="s">
        <v>1329</v>
      </c>
      <c r="F8" t="s">
        <v>38</v>
      </c>
      <c r="G8" t="s">
        <v>12</v>
      </c>
      <c r="H8" t="s">
        <v>870</v>
      </c>
      <c r="I8" t="s">
        <v>870</v>
      </c>
      <c r="J8">
        <v>1.93</v>
      </c>
      <c r="K8">
        <f>1.62+1.55</f>
        <v>3.17</v>
      </c>
      <c r="L8">
        <f>4.14</f>
        <v>4.1399999999999997</v>
      </c>
      <c r="M8" t="s">
        <v>1199</v>
      </c>
      <c r="N8" t="s">
        <v>33</v>
      </c>
      <c r="O8" t="s">
        <v>12</v>
      </c>
      <c r="Q8" t="s">
        <v>12</v>
      </c>
    </row>
    <row r="9" spans="1:19" x14ac:dyDescent="0.25">
      <c r="A9" t="s">
        <v>9</v>
      </c>
      <c r="B9" t="s">
        <v>10</v>
      </c>
      <c r="D9" t="s">
        <v>1329</v>
      </c>
      <c r="F9" t="s">
        <v>42</v>
      </c>
      <c r="G9" t="s">
        <v>12</v>
      </c>
      <c r="H9" t="s">
        <v>871</v>
      </c>
      <c r="I9" t="s">
        <v>871</v>
      </c>
      <c r="J9">
        <v>2</v>
      </c>
      <c r="K9">
        <v>3.24</v>
      </c>
      <c r="L9">
        <v>4.22</v>
      </c>
      <c r="M9" t="s">
        <v>1200</v>
      </c>
      <c r="N9" t="s">
        <v>33</v>
      </c>
      <c r="O9" t="s">
        <v>12</v>
      </c>
      <c r="Q9" t="s">
        <v>12</v>
      </c>
    </row>
    <row r="10" spans="1:19" x14ac:dyDescent="0.25">
      <c r="A10" t="s">
        <v>9</v>
      </c>
      <c r="B10" t="s">
        <v>10</v>
      </c>
      <c r="D10" t="s">
        <v>1330</v>
      </c>
      <c r="F10" t="s">
        <v>46</v>
      </c>
      <c r="G10" t="s">
        <v>12</v>
      </c>
      <c r="H10" t="s">
        <v>872</v>
      </c>
      <c r="I10" t="s">
        <v>872</v>
      </c>
      <c r="J10">
        <v>0.7</v>
      </c>
      <c r="K10">
        <v>1.65</v>
      </c>
      <c r="L10">
        <v>2.1</v>
      </c>
      <c r="M10" t="s">
        <v>1201</v>
      </c>
      <c r="N10" t="s">
        <v>16</v>
      </c>
      <c r="O10" t="s">
        <v>12</v>
      </c>
      <c r="Q10" t="s">
        <v>12</v>
      </c>
    </row>
    <row r="11" spans="1:19" x14ac:dyDescent="0.25">
      <c r="A11" t="s">
        <v>9</v>
      </c>
      <c r="B11" t="s">
        <v>10</v>
      </c>
      <c r="D11" t="s">
        <v>1330</v>
      </c>
      <c r="F11" t="s">
        <v>50</v>
      </c>
      <c r="G11" t="s">
        <v>12</v>
      </c>
      <c r="H11" t="s">
        <v>873</v>
      </c>
      <c r="I11" t="s">
        <v>873</v>
      </c>
      <c r="J11">
        <v>0.9</v>
      </c>
      <c r="K11">
        <v>2.0699999999999998</v>
      </c>
      <c r="L11">
        <v>2.6</v>
      </c>
      <c r="M11" t="s">
        <v>1202</v>
      </c>
      <c r="N11" t="s">
        <v>16</v>
      </c>
      <c r="O11" t="s">
        <v>12</v>
      </c>
      <c r="Q11" t="s">
        <v>12</v>
      </c>
    </row>
    <row r="12" spans="1:19" x14ac:dyDescent="0.25">
      <c r="A12" t="s">
        <v>9</v>
      </c>
      <c r="B12" t="s">
        <v>10</v>
      </c>
      <c r="D12" t="s">
        <v>1330</v>
      </c>
      <c r="F12" t="s">
        <v>54</v>
      </c>
      <c r="G12" t="s">
        <v>12</v>
      </c>
      <c r="H12" t="s">
        <v>874</v>
      </c>
      <c r="I12" t="s">
        <v>874</v>
      </c>
      <c r="J12">
        <v>1.18</v>
      </c>
      <c r="K12">
        <v>2.63</v>
      </c>
      <c r="L12">
        <v>3.31</v>
      </c>
      <c r="M12" t="s">
        <v>1203</v>
      </c>
      <c r="N12" t="s">
        <v>16</v>
      </c>
      <c r="O12" t="s">
        <v>12</v>
      </c>
      <c r="Q12" t="s">
        <v>12</v>
      </c>
    </row>
    <row r="13" spans="1:19" x14ac:dyDescent="0.25">
      <c r="A13" t="s">
        <v>9</v>
      </c>
      <c r="B13" t="s">
        <v>10</v>
      </c>
      <c r="D13" t="s">
        <v>1330</v>
      </c>
      <c r="F13" t="s">
        <v>58</v>
      </c>
      <c r="G13" t="s">
        <v>12</v>
      </c>
      <c r="H13" t="s">
        <v>875</v>
      </c>
      <c r="I13" t="s">
        <v>875</v>
      </c>
      <c r="J13">
        <f>J10*2</f>
        <v>1.4</v>
      </c>
      <c r="K13">
        <f t="shared" ref="K13:L13" si="1">K10*2</f>
        <v>3.3</v>
      </c>
      <c r="L13">
        <f t="shared" si="1"/>
        <v>4.2</v>
      </c>
      <c r="M13" t="s">
        <v>1204</v>
      </c>
      <c r="N13" t="s">
        <v>16</v>
      </c>
      <c r="O13" t="s">
        <v>12</v>
      </c>
      <c r="Q13" t="s">
        <v>12</v>
      </c>
    </row>
    <row r="14" spans="1:19" x14ac:dyDescent="0.25">
      <c r="A14" t="s">
        <v>9</v>
      </c>
      <c r="B14" t="s">
        <v>10</v>
      </c>
      <c r="D14" t="s">
        <v>1328</v>
      </c>
      <c r="F14" t="s">
        <v>1187</v>
      </c>
      <c r="G14" t="s">
        <v>12</v>
      </c>
      <c r="H14" t="s">
        <v>886</v>
      </c>
      <c r="I14" t="s">
        <v>887</v>
      </c>
      <c r="J14">
        <v>0.34</v>
      </c>
      <c r="K14">
        <v>0.79</v>
      </c>
      <c r="L14">
        <v>1.1100000000000001</v>
      </c>
      <c r="M14" t="s">
        <v>1209</v>
      </c>
      <c r="N14" t="s">
        <v>65</v>
      </c>
      <c r="O14" t="s">
        <v>889</v>
      </c>
      <c r="P14" t="s">
        <v>890</v>
      </c>
      <c r="Q14" t="s">
        <v>12</v>
      </c>
      <c r="S14" t="s">
        <v>1190</v>
      </c>
    </row>
    <row r="15" spans="1:19" x14ac:dyDescent="0.25">
      <c r="A15" t="s">
        <v>9</v>
      </c>
      <c r="B15" t="s">
        <v>10</v>
      </c>
      <c r="D15" t="s">
        <v>1328</v>
      </c>
      <c r="F15" t="s">
        <v>1188</v>
      </c>
      <c r="G15" t="s">
        <v>12</v>
      </c>
      <c r="H15" t="s">
        <v>886</v>
      </c>
      <c r="I15" t="s">
        <v>892</v>
      </c>
      <c r="J15">
        <v>0.68</v>
      </c>
      <c r="K15">
        <v>1.1399999999999999</v>
      </c>
      <c r="L15">
        <v>1.5</v>
      </c>
      <c r="M15" t="s">
        <v>1209</v>
      </c>
      <c r="N15" t="s">
        <v>65</v>
      </c>
      <c r="O15" t="s">
        <v>889</v>
      </c>
      <c r="P15" t="s">
        <v>893</v>
      </c>
      <c r="Q15" t="s">
        <v>12</v>
      </c>
      <c r="S15" t="s">
        <v>1191</v>
      </c>
    </row>
    <row r="16" spans="1:19" x14ac:dyDescent="0.25">
      <c r="A16" t="s">
        <v>9</v>
      </c>
      <c r="B16" t="s">
        <v>10</v>
      </c>
      <c r="D16" t="s">
        <v>1330</v>
      </c>
      <c r="F16" t="s">
        <v>876</v>
      </c>
      <c r="G16" t="s">
        <v>12</v>
      </c>
      <c r="H16" t="s">
        <v>877</v>
      </c>
      <c r="I16" t="s">
        <v>877</v>
      </c>
      <c r="J16">
        <v>0.75</v>
      </c>
      <c r="K16">
        <f>0.82+1.22</f>
        <v>2.04</v>
      </c>
      <c r="L16">
        <f>1.17+1.76</f>
        <v>2.9299999999999997</v>
      </c>
      <c r="M16" t="s">
        <v>1205</v>
      </c>
      <c r="N16" t="s">
        <v>533</v>
      </c>
      <c r="O16" t="s">
        <v>1325</v>
      </c>
      <c r="P16" t="s">
        <v>1326</v>
      </c>
      <c r="Q16" t="s">
        <v>12</v>
      </c>
    </row>
    <row r="17" spans="1:19" x14ac:dyDescent="0.25">
      <c r="A17" t="s">
        <v>9</v>
      </c>
      <c r="B17" t="s">
        <v>10</v>
      </c>
      <c r="D17" t="s">
        <v>1330</v>
      </c>
      <c r="F17" t="s">
        <v>878</v>
      </c>
      <c r="G17" t="s">
        <v>12</v>
      </c>
      <c r="H17" t="s">
        <v>879</v>
      </c>
      <c r="I17" t="s">
        <v>879</v>
      </c>
      <c r="J17">
        <f>0.9*38/36</f>
        <v>0.95000000000000007</v>
      </c>
      <c r="K17">
        <f>2.45*38/36</f>
        <v>2.5861111111111112</v>
      </c>
      <c r="L17">
        <f>38/36*3.51</f>
        <v>3.7050000000000001</v>
      </c>
      <c r="M17" t="s">
        <v>1206</v>
      </c>
      <c r="N17" t="s">
        <v>533</v>
      </c>
      <c r="O17" t="s">
        <v>1325</v>
      </c>
      <c r="P17" t="s">
        <v>1326</v>
      </c>
      <c r="Q17" t="s">
        <v>12</v>
      </c>
    </row>
    <row r="18" spans="1:19" x14ac:dyDescent="0.25">
      <c r="A18" t="s">
        <v>9</v>
      </c>
      <c r="B18" t="s">
        <v>10</v>
      </c>
      <c r="D18" t="s">
        <v>1330</v>
      </c>
      <c r="F18" t="s">
        <v>880</v>
      </c>
      <c r="G18" t="s">
        <v>12</v>
      </c>
      <c r="H18" t="s">
        <v>881</v>
      </c>
      <c r="I18" t="s">
        <v>881</v>
      </c>
      <c r="J18">
        <f>0.9*49/36</f>
        <v>1.2250000000000001</v>
      </c>
      <c r="K18">
        <f>2.45*49/36</f>
        <v>3.3347222222222226</v>
      </c>
      <c r="L18">
        <f>49/36*3.51</f>
        <v>4.7774999999999999</v>
      </c>
      <c r="M18" t="s">
        <v>1207</v>
      </c>
      <c r="N18" t="s">
        <v>533</v>
      </c>
      <c r="O18" t="s">
        <v>1325</v>
      </c>
      <c r="P18" t="s">
        <v>1326</v>
      </c>
      <c r="Q18" t="s">
        <v>12</v>
      </c>
    </row>
    <row r="19" spans="1:19" x14ac:dyDescent="0.25">
      <c r="A19" t="s">
        <v>9</v>
      </c>
      <c r="B19" t="s">
        <v>10</v>
      </c>
      <c r="D19" t="s">
        <v>1330</v>
      </c>
      <c r="F19" t="s">
        <v>882</v>
      </c>
      <c r="G19" t="s">
        <v>12</v>
      </c>
      <c r="H19" t="s">
        <v>883</v>
      </c>
      <c r="I19" t="s">
        <v>883</v>
      </c>
      <c r="J19">
        <f>J16*2</f>
        <v>1.5</v>
      </c>
      <c r="K19">
        <f t="shared" ref="K19:L19" si="2">K16*2</f>
        <v>4.08</v>
      </c>
      <c r="L19">
        <f t="shared" si="2"/>
        <v>5.8599999999999994</v>
      </c>
      <c r="M19" t="s">
        <v>1208</v>
      </c>
      <c r="N19" t="s">
        <v>533</v>
      </c>
      <c r="O19" t="s">
        <v>1325</v>
      </c>
      <c r="P19" t="s">
        <v>1326</v>
      </c>
      <c r="Q19" t="s">
        <v>12</v>
      </c>
    </row>
    <row r="20" spans="1:19" x14ac:dyDescent="0.25">
      <c r="A20" t="s">
        <v>75</v>
      </c>
      <c r="B20" t="s">
        <v>10</v>
      </c>
      <c r="D20" t="s">
        <v>1746</v>
      </c>
      <c r="F20" t="s">
        <v>1740</v>
      </c>
      <c r="G20" t="s">
        <v>77</v>
      </c>
      <c r="H20">
        <v>2.34</v>
      </c>
      <c r="I20">
        <f>H20*1.14</f>
        <v>2.6675999999999997</v>
      </c>
      <c r="J20">
        <v>1.875</v>
      </c>
      <c r="K20">
        <v>11.5</v>
      </c>
      <c r="L20">
        <v>18</v>
      </c>
      <c r="M20" t="s">
        <v>1745</v>
      </c>
      <c r="N20" t="s">
        <v>80</v>
      </c>
      <c r="O20" t="s">
        <v>889</v>
      </c>
      <c r="P20" s="5" t="s">
        <v>1744</v>
      </c>
      <c r="Q20" t="s">
        <v>1738</v>
      </c>
      <c r="S20" s="5" t="s">
        <v>1739</v>
      </c>
    </row>
    <row r="21" spans="1:19" x14ac:dyDescent="0.25">
      <c r="A21" t="s">
        <v>75</v>
      </c>
      <c r="B21" t="s">
        <v>10</v>
      </c>
      <c r="D21" t="s">
        <v>1746</v>
      </c>
      <c r="F21" t="s">
        <v>1748</v>
      </c>
      <c r="G21" t="s">
        <v>77</v>
      </c>
      <c r="H21">
        <v>2.34</v>
      </c>
      <c r="I21">
        <f>H21*2.04</f>
        <v>4.7736000000000001</v>
      </c>
      <c r="J21">
        <f>J22/4.5*3.5</f>
        <v>2.625</v>
      </c>
      <c r="K21">
        <f t="shared" ref="K21:L21" si="3">K22/4.5*3.5</f>
        <v>16.099999999999998</v>
      </c>
      <c r="L21">
        <f t="shared" si="3"/>
        <v>25.199999999999996</v>
      </c>
      <c r="M21" t="s">
        <v>1745</v>
      </c>
      <c r="N21" t="s">
        <v>80</v>
      </c>
      <c r="O21" t="s">
        <v>889</v>
      </c>
      <c r="P21" s="5" t="s">
        <v>1744</v>
      </c>
      <c r="Q21" t="s">
        <v>1738</v>
      </c>
      <c r="S21" s="5" t="s">
        <v>1739</v>
      </c>
    </row>
    <row r="22" spans="1:19" x14ac:dyDescent="0.25">
      <c r="A22" t="s">
        <v>75</v>
      </c>
      <c r="B22" t="s">
        <v>10</v>
      </c>
      <c r="D22" t="s">
        <v>1746</v>
      </c>
      <c r="F22" t="s">
        <v>1741</v>
      </c>
      <c r="G22" t="s">
        <v>77</v>
      </c>
      <c r="H22">
        <v>2.34</v>
      </c>
      <c r="I22">
        <f>H22*2.04</f>
        <v>4.7736000000000001</v>
      </c>
      <c r="J22">
        <v>3.375</v>
      </c>
      <c r="K22">
        <v>20.7</v>
      </c>
      <c r="L22">
        <v>32.4</v>
      </c>
      <c r="M22" t="s">
        <v>1745</v>
      </c>
      <c r="N22" t="s">
        <v>80</v>
      </c>
      <c r="O22" t="s">
        <v>889</v>
      </c>
      <c r="P22" s="5" t="s">
        <v>1744</v>
      </c>
      <c r="Q22" t="s">
        <v>1738</v>
      </c>
      <c r="S22" s="5" t="s">
        <v>1739</v>
      </c>
    </row>
    <row r="23" spans="1:19" x14ac:dyDescent="0.25">
      <c r="A23" t="s">
        <v>75</v>
      </c>
      <c r="B23" t="s">
        <v>10</v>
      </c>
      <c r="D23" t="s">
        <v>1729</v>
      </c>
      <c r="F23" t="s">
        <v>1742</v>
      </c>
      <c r="G23" t="s">
        <v>77</v>
      </c>
      <c r="H23">
        <v>4.75</v>
      </c>
      <c r="I23">
        <f>H23*0.55</f>
        <v>2.6125000000000003</v>
      </c>
      <c r="J23">
        <v>2.3039999999999998</v>
      </c>
      <c r="K23">
        <v>16.463999999999999</v>
      </c>
      <c r="L23">
        <v>25.8</v>
      </c>
      <c r="M23" t="s">
        <v>1725</v>
      </c>
      <c r="N23" t="s">
        <v>80</v>
      </c>
      <c r="O23" t="s">
        <v>889</v>
      </c>
      <c r="P23" t="s">
        <v>1726</v>
      </c>
      <c r="Q23" t="s">
        <v>1738</v>
      </c>
      <c r="S23" s="5" t="s">
        <v>1739</v>
      </c>
    </row>
    <row r="24" spans="1:19" x14ac:dyDescent="0.25">
      <c r="A24" t="s">
        <v>75</v>
      </c>
      <c r="B24" t="s">
        <v>10</v>
      </c>
      <c r="D24" t="s">
        <v>1729</v>
      </c>
      <c r="F24" t="s">
        <v>1747</v>
      </c>
      <c r="G24" t="s">
        <v>77</v>
      </c>
      <c r="H24">
        <v>4.75</v>
      </c>
      <c r="I24">
        <f>H24*0.91</f>
        <v>4.3224999999999998</v>
      </c>
      <c r="J24">
        <v>3.84</v>
      </c>
      <c r="K24">
        <v>27.439999999999998</v>
      </c>
      <c r="L24">
        <v>43</v>
      </c>
      <c r="M24" t="s">
        <v>1725</v>
      </c>
      <c r="N24" t="s">
        <v>80</v>
      </c>
      <c r="O24" t="s">
        <v>889</v>
      </c>
      <c r="P24" t="s">
        <v>1726</v>
      </c>
      <c r="Q24" t="s">
        <v>1738</v>
      </c>
      <c r="S24" s="5" t="s">
        <v>1739</v>
      </c>
    </row>
    <row r="25" spans="1:19" x14ac:dyDescent="0.25">
      <c r="A25" t="s">
        <v>75</v>
      </c>
      <c r="B25" t="s">
        <v>10</v>
      </c>
      <c r="D25" t="s">
        <v>1729</v>
      </c>
      <c r="F25" t="s">
        <v>1743</v>
      </c>
      <c r="G25" t="s">
        <v>77</v>
      </c>
      <c r="H25">
        <v>4.75</v>
      </c>
      <c r="I25">
        <f>H25*1.27</f>
        <v>6.0324999999999998</v>
      </c>
      <c r="J25">
        <v>5.3759999999999994</v>
      </c>
      <c r="K25">
        <v>38.415999999999997</v>
      </c>
      <c r="L25">
        <v>60.199999999999996</v>
      </c>
      <c r="M25" t="s">
        <v>1725</v>
      </c>
      <c r="N25" t="s">
        <v>80</v>
      </c>
      <c r="O25" t="s">
        <v>889</v>
      </c>
      <c r="P25" t="s">
        <v>1726</v>
      </c>
      <c r="Q25" t="s">
        <v>1738</v>
      </c>
      <c r="S25" s="5" t="s">
        <v>1739</v>
      </c>
    </row>
    <row r="26" spans="1:19" x14ac:dyDescent="0.25">
      <c r="A26" t="s">
        <v>104</v>
      </c>
      <c r="B26" t="s">
        <v>10</v>
      </c>
      <c r="D26" t="s">
        <v>1797</v>
      </c>
      <c r="F26" t="s">
        <v>1798</v>
      </c>
      <c r="G26" t="s">
        <v>106</v>
      </c>
      <c r="H26">
        <v>2460</v>
      </c>
      <c r="I26">
        <v>2460</v>
      </c>
      <c r="J26">
        <v>6375</v>
      </c>
      <c r="K26">
        <v>6527</v>
      </c>
      <c r="L26">
        <v>7250</v>
      </c>
      <c r="M26" t="s">
        <v>1219</v>
      </c>
      <c r="N26" t="s">
        <v>1796</v>
      </c>
      <c r="O26" t="s">
        <v>106</v>
      </c>
      <c r="Q26" t="s">
        <v>106</v>
      </c>
      <c r="S26" s="5"/>
    </row>
    <row r="27" spans="1:19" x14ac:dyDescent="0.25">
      <c r="A27" t="s">
        <v>104</v>
      </c>
      <c r="B27" t="s">
        <v>10</v>
      </c>
      <c r="D27" t="s">
        <v>1797</v>
      </c>
      <c r="F27" t="s">
        <v>926</v>
      </c>
      <c r="G27" t="s">
        <v>106</v>
      </c>
      <c r="H27">
        <v>439</v>
      </c>
      <c r="I27">
        <v>439</v>
      </c>
      <c r="J27">
        <v>6375</v>
      </c>
      <c r="K27">
        <v>6527</v>
      </c>
      <c r="L27">
        <v>7250</v>
      </c>
      <c r="M27" t="s">
        <v>927</v>
      </c>
      <c r="N27" t="s">
        <v>1796</v>
      </c>
      <c r="O27" t="s">
        <v>106</v>
      </c>
      <c r="Q27" t="s">
        <v>106</v>
      </c>
      <c r="S27" s="5"/>
    </row>
    <row r="28" spans="1:19" x14ac:dyDescent="0.25">
      <c r="A28" t="s">
        <v>104</v>
      </c>
      <c r="B28" t="s">
        <v>10</v>
      </c>
      <c r="D28" t="s">
        <v>1797</v>
      </c>
      <c r="F28" t="s">
        <v>928</v>
      </c>
      <c r="G28" t="s">
        <v>106</v>
      </c>
      <c r="H28">
        <v>3580</v>
      </c>
      <c r="I28">
        <v>3580</v>
      </c>
      <c r="J28">
        <v>6375</v>
      </c>
      <c r="K28">
        <v>6527</v>
      </c>
      <c r="L28">
        <v>7250</v>
      </c>
      <c r="M28" t="s">
        <v>929</v>
      </c>
      <c r="N28" t="s">
        <v>1796</v>
      </c>
      <c r="O28" t="s">
        <v>106</v>
      </c>
      <c r="Q28" t="s">
        <v>106</v>
      </c>
      <c r="S28" s="5"/>
    </row>
    <row r="29" spans="1:19" x14ac:dyDescent="0.25">
      <c r="A29" t="s">
        <v>104</v>
      </c>
      <c r="B29" t="s">
        <v>10</v>
      </c>
      <c r="D29" t="s">
        <v>1797</v>
      </c>
      <c r="F29" t="s">
        <v>930</v>
      </c>
      <c r="G29" t="s">
        <v>106</v>
      </c>
      <c r="H29">
        <v>6680</v>
      </c>
      <c r="I29">
        <v>6680</v>
      </c>
      <c r="J29">
        <v>6375</v>
      </c>
      <c r="K29">
        <v>6527</v>
      </c>
      <c r="L29">
        <v>7250</v>
      </c>
      <c r="M29" t="s">
        <v>931</v>
      </c>
      <c r="N29" t="s">
        <v>1796</v>
      </c>
      <c r="O29" t="s">
        <v>106</v>
      </c>
      <c r="Q29" t="s">
        <v>106</v>
      </c>
      <c r="S29" s="5"/>
    </row>
    <row r="30" spans="1:19" x14ac:dyDescent="0.25">
      <c r="A30" t="s">
        <v>104</v>
      </c>
      <c r="B30" t="s">
        <v>10</v>
      </c>
      <c r="D30" t="s">
        <v>1797</v>
      </c>
      <c r="F30" t="s">
        <v>932</v>
      </c>
      <c r="G30" t="s">
        <v>106</v>
      </c>
      <c r="H30">
        <v>2190</v>
      </c>
      <c r="I30">
        <v>2190</v>
      </c>
      <c r="J30">
        <v>6375</v>
      </c>
      <c r="K30">
        <v>6527</v>
      </c>
      <c r="L30">
        <v>7250</v>
      </c>
      <c r="M30" t="s">
        <v>933</v>
      </c>
      <c r="N30" t="s">
        <v>1796</v>
      </c>
      <c r="O30" t="s">
        <v>106</v>
      </c>
      <c r="Q30" t="s">
        <v>106</v>
      </c>
      <c r="S30" s="5"/>
    </row>
    <row r="31" spans="1:19" x14ac:dyDescent="0.25">
      <c r="A31" t="s">
        <v>104</v>
      </c>
      <c r="B31" t="s">
        <v>10</v>
      </c>
      <c r="D31" t="s">
        <v>1797</v>
      </c>
      <c r="F31" t="s">
        <v>934</v>
      </c>
      <c r="G31" t="s">
        <v>106</v>
      </c>
      <c r="H31">
        <v>683</v>
      </c>
      <c r="I31">
        <v>683</v>
      </c>
      <c r="J31">
        <v>6375</v>
      </c>
      <c r="K31">
        <v>6527</v>
      </c>
      <c r="L31">
        <v>7250</v>
      </c>
      <c r="M31" t="s">
        <v>935</v>
      </c>
      <c r="N31" t="s">
        <v>1796</v>
      </c>
      <c r="O31" t="s">
        <v>106</v>
      </c>
      <c r="Q31" t="s">
        <v>106</v>
      </c>
      <c r="S31" s="5"/>
    </row>
    <row r="32" spans="1:19" x14ac:dyDescent="0.25">
      <c r="A32" t="s">
        <v>168</v>
      </c>
      <c r="B32" t="s">
        <v>10</v>
      </c>
      <c r="D32" t="s">
        <v>1331</v>
      </c>
      <c r="F32" t="s">
        <v>169</v>
      </c>
      <c r="G32" t="s">
        <v>12</v>
      </c>
      <c r="H32">
        <v>690</v>
      </c>
      <c r="I32">
        <v>0.81444759206798867</v>
      </c>
      <c r="J32">
        <v>1.1599999999999999</v>
      </c>
      <c r="K32">
        <v>1.49</v>
      </c>
      <c r="L32">
        <v>1.81</v>
      </c>
      <c r="M32" t="s">
        <v>1229</v>
      </c>
      <c r="N32" t="s">
        <v>172</v>
      </c>
      <c r="O32" t="s">
        <v>944</v>
      </c>
    </row>
    <row r="33" spans="1:15" x14ac:dyDescent="0.25">
      <c r="A33" t="s">
        <v>168</v>
      </c>
      <c r="B33" t="s">
        <v>10</v>
      </c>
      <c r="D33" t="s">
        <v>1331</v>
      </c>
      <c r="F33" t="s">
        <v>173</v>
      </c>
      <c r="G33" t="s">
        <v>12</v>
      </c>
      <c r="H33">
        <v>690</v>
      </c>
      <c r="I33">
        <v>1.018059490084986</v>
      </c>
      <c r="J33">
        <v>1.37</v>
      </c>
      <c r="K33">
        <v>1.74</v>
      </c>
      <c r="L33">
        <v>2.11</v>
      </c>
      <c r="M33" t="s">
        <v>1229</v>
      </c>
      <c r="N33" t="s">
        <v>172</v>
      </c>
      <c r="O33" t="s">
        <v>944</v>
      </c>
    </row>
    <row r="34" spans="1:15" x14ac:dyDescent="0.25">
      <c r="A34" t="s">
        <v>168</v>
      </c>
      <c r="B34" t="s">
        <v>10</v>
      </c>
      <c r="D34" t="s">
        <v>1331</v>
      </c>
      <c r="F34" t="s">
        <v>177</v>
      </c>
      <c r="G34" t="s">
        <v>12</v>
      </c>
      <c r="H34">
        <v>690</v>
      </c>
      <c r="I34">
        <v>1.2216713881019832</v>
      </c>
      <c r="J34">
        <v>1.71</v>
      </c>
      <c r="K34">
        <v>2.11</v>
      </c>
      <c r="L34">
        <v>2.5299999999999998</v>
      </c>
      <c r="M34" t="s">
        <v>1229</v>
      </c>
      <c r="N34" t="s">
        <v>172</v>
      </c>
      <c r="O34" t="s">
        <v>944</v>
      </c>
    </row>
    <row r="35" spans="1:15" x14ac:dyDescent="0.25">
      <c r="A35" t="s">
        <v>168</v>
      </c>
      <c r="B35" t="s">
        <v>10</v>
      </c>
      <c r="D35" t="s">
        <v>1331</v>
      </c>
      <c r="F35" t="s">
        <v>169</v>
      </c>
      <c r="G35" t="s">
        <v>12</v>
      </c>
      <c r="H35" s="2">
        <v>0.315</v>
      </c>
      <c r="I35" s="2">
        <v>0.42</v>
      </c>
      <c r="J35">
        <v>1.1599999999999999</v>
      </c>
      <c r="K35">
        <v>1.49</v>
      </c>
      <c r="L35">
        <v>1.81</v>
      </c>
      <c r="M35" t="s">
        <v>1228</v>
      </c>
      <c r="N35" t="s">
        <v>172</v>
      </c>
      <c r="O35" t="s">
        <v>12</v>
      </c>
    </row>
    <row r="36" spans="1:15" x14ac:dyDescent="0.25">
      <c r="A36" t="s">
        <v>168</v>
      </c>
      <c r="B36" t="s">
        <v>10</v>
      </c>
      <c r="D36" t="s">
        <v>1331</v>
      </c>
      <c r="F36" t="s">
        <v>173</v>
      </c>
      <c r="G36" t="s">
        <v>12</v>
      </c>
      <c r="H36" s="2">
        <v>0.315</v>
      </c>
      <c r="I36" s="2">
        <v>0.52500000000000002</v>
      </c>
      <c r="J36">
        <v>1.37</v>
      </c>
      <c r="K36">
        <v>1.74</v>
      </c>
      <c r="L36">
        <v>2.11</v>
      </c>
      <c r="M36" t="s">
        <v>1228</v>
      </c>
      <c r="N36" t="s">
        <v>172</v>
      </c>
      <c r="O36" t="s">
        <v>12</v>
      </c>
    </row>
    <row r="37" spans="1:15" x14ac:dyDescent="0.25">
      <c r="A37" t="s">
        <v>168</v>
      </c>
      <c r="B37" t="s">
        <v>10</v>
      </c>
      <c r="D37" t="s">
        <v>1331</v>
      </c>
      <c r="F37" t="s">
        <v>177</v>
      </c>
      <c r="G37" t="s">
        <v>12</v>
      </c>
      <c r="H37" s="2">
        <v>0.315</v>
      </c>
      <c r="I37" s="2">
        <v>0.63</v>
      </c>
      <c r="J37">
        <v>1.71</v>
      </c>
      <c r="K37">
        <v>2.11</v>
      </c>
      <c r="L37">
        <v>2.5299999999999998</v>
      </c>
      <c r="M37" t="s">
        <v>1228</v>
      </c>
      <c r="N37" t="s">
        <v>172</v>
      </c>
      <c r="O37" t="s">
        <v>12</v>
      </c>
    </row>
    <row r="38" spans="1:15" x14ac:dyDescent="0.25">
      <c r="A38" t="s">
        <v>168</v>
      </c>
      <c r="B38" t="s">
        <v>10</v>
      </c>
      <c r="D38" t="s">
        <v>1332</v>
      </c>
      <c r="F38" t="s">
        <v>1318</v>
      </c>
      <c r="G38" t="s">
        <v>12</v>
      </c>
      <c r="H38">
        <v>332</v>
      </c>
      <c r="I38">
        <v>0.48984891406987729</v>
      </c>
      <c r="J38">
        <v>0.81</v>
      </c>
      <c r="K38">
        <v>1.27</v>
      </c>
      <c r="L38">
        <v>1.65</v>
      </c>
      <c r="M38" t="s">
        <v>1227</v>
      </c>
      <c r="N38" t="s">
        <v>172</v>
      </c>
      <c r="O38" t="s">
        <v>944</v>
      </c>
    </row>
    <row r="39" spans="1:15" x14ac:dyDescent="0.25">
      <c r="A39" t="s">
        <v>168</v>
      </c>
      <c r="B39" t="s">
        <v>10</v>
      </c>
      <c r="D39" t="s">
        <v>1332</v>
      </c>
      <c r="F39" t="s">
        <v>1319</v>
      </c>
      <c r="G39" t="s">
        <v>12</v>
      </c>
      <c r="H39">
        <v>332</v>
      </c>
      <c r="I39">
        <v>0.5878186968838528</v>
      </c>
      <c r="J39">
        <v>0.83</v>
      </c>
      <c r="K39">
        <v>1.33</v>
      </c>
      <c r="L39">
        <v>1.73</v>
      </c>
      <c r="M39" t="s">
        <v>1227</v>
      </c>
      <c r="N39" t="s">
        <v>172</v>
      </c>
      <c r="O39" t="s">
        <v>944</v>
      </c>
    </row>
    <row r="40" spans="1:15" x14ac:dyDescent="0.25">
      <c r="A40" t="s">
        <v>168</v>
      </c>
      <c r="B40" t="s">
        <v>10</v>
      </c>
      <c r="D40" t="s">
        <v>1332</v>
      </c>
      <c r="F40" t="s">
        <v>1318</v>
      </c>
      <c r="G40" t="s">
        <v>12</v>
      </c>
      <c r="H40" s="2">
        <v>0.34300000000000003</v>
      </c>
      <c r="I40" s="2">
        <v>0.57166666666666677</v>
      </c>
      <c r="J40">
        <v>0.81</v>
      </c>
      <c r="K40">
        <v>1.27</v>
      </c>
      <c r="L40">
        <v>1.65</v>
      </c>
      <c r="M40" t="s">
        <v>1226</v>
      </c>
      <c r="N40" t="s">
        <v>172</v>
      </c>
      <c r="O40" t="s">
        <v>12</v>
      </c>
    </row>
    <row r="41" spans="1:15" x14ac:dyDescent="0.25">
      <c r="A41" t="s">
        <v>168</v>
      </c>
      <c r="B41" t="s">
        <v>10</v>
      </c>
      <c r="D41" t="s">
        <v>1332</v>
      </c>
      <c r="F41" t="s">
        <v>1319</v>
      </c>
      <c r="G41" t="s">
        <v>12</v>
      </c>
      <c r="H41" s="2">
        <v>0.34300000000000003</v>
      </c>
      <c r="I41" s="2">
        <v>0.68600000000000005</v>
      </c>
      <c r="J41">
        <v>0.83</v>
      </c>
      <c r="K41">
        <v>1.33</v>
      </c>
      <c r="L41">
        <v>1.73</v>
      </c>
      <c r="M41" t="s">
        <v>1226</v>
      </c>
      <c r="N41" t="s">
        <v>172</v>
      </c>
      <c r="O41" t="s">
        <v>12</v>
      </c>
    </row>
    <row r="42" spans="1:15" x14ac:dyDescent="0.25">
      <c r="A42" t="s">
        <v>180</v>
      </c>
      <c r="B42" t="s">
        <v>10</v>
      </c>
      <c r="D42" t="s">
        <v>1331</v>
      </c>
      <c r="E42" s="3"/>
      <c r="F42" t="s">
        <v>181</v>
      </c>
      <c r="G42" t="s">
        <v>12</v>
      </c>
      <c r="H42">
        <v>690</v>
      </c>
      <c r="I42">
        <v>0.40722379603399433</v>
      </c>
      <c r="J42">
        <v>1.38</v>
      </c>
      <c r="K42">
        <v>1.71</v>
      </c>
      <c r="L42">
        <v>2.0499999999999998</v>
      </c>
      <c r="M42" t="s">
        <v>1229</v>
      </c>
      <c r="N42" t="s">
        <v>184</v>
      </c>
      <c r="O42" t="s">
        <v>944</v>
      </c>
    </row>
    <row r="43" spans="1:15" x14ac:dyDescent="0.25">
      <c r="A43" t="s">
        <v>180</v>
      </c>
      <c r="B43" t="s">
        <v>10</v>
      </c>
      <c r="D43" t="s">
        <v>1331</v>
      </c>
      <c r="E43" s="3"/>
      <c r="F43" t="s">
        <v>185</v>
      </c>
      <c r="G43" t="s">
        <v>12</v>
      </c>
      <c r="H43">
        <v>690</v>
      </c>
      <c r="I43">
        <v>0.61083569405099158</v>
      </c>
      <c r="J43">
        <v>1.53</v>
      </c>
      <c r="K43">
        <v>1.86</v>
      </c>
      <c r="L43">
        <v>2.2200000000000002</v>
      </c>
      <c r="M43" t="s">
        <v>1229</v>
      </c>
      <c r="N43" t="s">
        <v>184</v>
      </c>
      <c r="O43" t="s">
        <v>944</v>
      </c>
    </row>
    <row r="44" spans="1:15" x14ac:dyDescent="0.25">
      <c r="A44" t="s">
        <v>180</v>
      </c>
      <c r="B44" t="s">
        <v>10</v>
      </c>
      <c r="D44" t="s">
        <v>1331</v>
      </c>
      <c r="E44" s="3"/>
      <c r="F44" t="s">
        <v>187</v>
      </c>
      <c r="G44" t="s">
        <v>12</v>
      </c>
      <c r="H44">
        <v>690</v>
      </c>
      <c r="I44">
        <v>0.81444759206798867</v>
      </c>
      <c r="J44">
        <v>2</v>
      </c>
      <c r="K44">
        <v>2.34</v>
      </c>
      <c r="L44">
        <v>2.76</v>
      </c>
      <c r="M44" t="s">
        <v>1229</v>
      </c>
      <c r="N44" t="s">
        <v>184</v>
      </c>
      <c r="O44" t="s">
        <v>944</v>
      </c>
    </row>
    <row r="45" spans="1:15" x14ac:dyDescent="0.25">
      <c r="A45" t="s">
        <v>180</v>
      </c>
      <c r="B45" t="s">
        <v>10</v>
      </c>
      <c r="D45" t="s">
        <v>1331</v>
      </c>
      <c r="E45" s="3"/>
      <c r="F45" t="s">
        <v>190</v>
      </c>
      <c r="G45" t="s">
        <v>12</v>
      </c>
      <c r="H45">
        <v>690</v>
      </c>
      <c r="I45">
        <v>1.018059490084986</v>
      </c>
      <c r="J45">
        <v>2.12</v>
      </c>
      <c r="K45">
        <v>2.48</v>
      </c>
      <c r="L45">
        <v>2.91</v>
      </c>
      <c r="M45" t="s">
        <v>1229</v>
      </c>
      <c r="N45" t="s">
        <v>184</v>
      </c>
      <c r="O45" t="s">
        <v>944</v>
      </c>
    </row>
    <row r="46" spans="1:15" x14ac:dyDescent="0.25">
      <c r="A46" t="s">
        <v>180</v>
      </c>
      <c r="B46" t="s">
        <v>10</v>
      </c>
      <c r="D46" t="s">
        <v>1331</v>
      </c>
      <c r="E46" s="3"/>
      <c r="F46" t="s">
        <v>193</v>
      </c>
      <c r="G46" t="s">
        <v>12</v>
      </c>
      <c r="H46">
        <v>690</v>
      </c>
      <c r="I46">
        <v>1.2216713881019832</v>
      </c>
      <c r="J46">
        <v>2.59</v>
      </c>
      <c r="K46">
        <v>2.97</v>
      </c>
      <c r="L46">
        <v>3.47</v>
      </c>
      <c r="M46" t="s">
        <v>1229</v>
      </c>
      <c r="N46" t="s">
        <v>184</v>
      </c>
      <c r="O46" t="s">
        <v>944</v>
      </c>
    </row>
    <row r="47" spans="1:15" x14ac:dyDescent="0.25">
      <c r="A47" t="s">
        <v>180</v>
      </c>
      <c r="B47" t="s">
        <v>10</v>
      </c>
      <c r="D47" t="s">
        <v>1331</v>
      </c>
      <c r="E47" s="4"/>
      <c r="F47" t="s">
        <v>181</v>
      </c>
      <c r="G47" t="s">
        <v>12</v>
      </c>
      <c r="H47" s="2">
        <v>0.315</v>
      </c>
      <c r="I47" s="2">
        <v>0.21</v>
      </c>
      <c r="J47">
        <v>1.38</v>
      </c>
      <c r="K47">
        <v>1.71</v>
      </c>
      <c r="L47">
        <v>2.0499999999999998</v>
      </c>
      <c r="M47" t="s">
        <v>1228</v>
      </c>
      <c r="N47" t="s">
        <v>184</v>
      </c>
      <c r="O47" t="s">
        <v>12</v>
      </c>
    </row>
    <row r="48" spans="1:15" x14ac:dyDescent="0.25">
      <c r="A48" t="s">
        <v>180</v>
      </c>
      <c r="B48" t="s">
        <v>10</v>
      </c>
      <c r="D48" t="s">
        <v>1331</v>
      </c>
      <c r="E48" s="4"/>
      <c r="F48" t="s">
        <v>185</v>
      </c>
      <c r="G48" t="s">
        <v>12</v>
      </c>
      <c r="H48" s="2">
        <v>0.315</v>
      </c>
      <c r="I48" s="2">
        <v>0.315</v>
      </c>
      <c r="J48">
        <v>1.53</v>
      </c>
      <c r="K48">
        <v>1.86</v>
      </c>
      <c r="L48">
        <v>2.2200000000000002</v>
      </c>
      <c r="M48" t="s">
        <v>1228</v>
      </c>
      <c r="N48" t="s">
        <v>184</v>
      </c>
      <c r="O48" t="s">
        <v>12</v>
      </c>
    </row>
    <row r="49" spans="1:17" x14ac:dyDescent="0.25">
      <c r="A49" t="s">
        <v>180</v>
      </c>
      <c r="B49" t="s">
        <v>10</v>
      </c>
      <c r="D49" t="s">
        <v>1331</v>
      </c>
      <c r="E49" s="4"/>
      <c r="F49" t="s">
        <v>187</v>
      </c>
      <c r="G49" t="s">
        <v>12</v>
      </c>
      <c r="H49" s="2">
        <v>0.315</v>
      </c>
      <c r="I49" s="2">
        <v>0.42</v>
      </c>
      <c r="J49">
        <v>2</v>
      </c>
      <c r="K49">
        <v>2.34</v>
      </c>
      <c r="L49">
        <v>2.76</v>
      </c>
      <c r="M49" t="s">
        <v>1228</v>
      </c>
      <c r="N49" t="s">
        <v>184</v>
      </c>
      <c r="O49" t="s">
        <v>12</v>
      </c>
    </row>
    <row r="50" spans="1:17" x14ac:dyDescent="0.25">
      <c r="A50" t="s">
        <v>180</v>
      </c>
      <c r="B50" t="s">
        <v>10</v>
      </c>
      <c r="D50" t="s">
        <v>1331</v>
      </c>
      <c r="E50" s="4"/>
      <c r="F50" t="s">
        <v>190</v>
      </c>
      <c r="G50" t="s">
        <v>12</v>
      </c>
      <c r="H50" s="2">
        <v>0.315</v>
      </c>
      <c r="I50" s="2">
        <v>0.52500000000000002</v>
      </c>
      <c r="J50">
        <v>2.12</v>
      </c>
      <c r="K50">
        <v>2.48</v>
      </c>
      <c r="L50">
        <v>2.91</v>
      </c>
      <c r="M50" t="s">
        <v>1228</v>
      </c>
      <c r="N50" t="s">
        <v>184</v>
      </c>
      <c r="O50" t="s">
        <v>12</v>
      </c>
    </row>
    <row r="51" spans="1:17" x14ac:dyDescent="0.25">
      <c r="A51" t="s">
        <v>180</v>
      </c>
      <c r="B51" t="s">
        <v>10</v>
      </c>
      <c r="D51" t="s">
        <v>1331</v>
      </c>
      <c r="E51" s="4"/>
      <c r="F51" t="s">
        <v>193</v>
      </c>
      <c r="G51" t="s">
        <v>12</v>
      </c>
      <c r="H51" s="2">
        <v>0.315</v>
      </c>
      <c r="I51" s="2">
        <v>0.63</v>
      </c>
      <c r="J51">
        <v>2.59</v>
      </c>
      <c r="K51">
        <v>2.97</v>
      </c>
      <c r="L51">
        <v>3.47</v>
      </c>
      <c r="M51" t="s">
        <v>1228</v>
      </c>
      <c r="N51" t="s">
        <v>184</v>
      </c>
      <c r="O51" t="s">
        <v>12</v>
      </c>
    </row>
    <row r="52" spans="1:17" x14ac:dyDescent="0.25">
      <c r="A52" t="s">
        <v>180</v>
      </c>
      <c r="B52" t="s">
        <v>10</v>
      </c>
      <c r="D52" t="s">
        <v>1333</v>
      </c>
      <c r="E52" s="3"/>
      <c r="F52" t="s">
        <v>196</v>
      </c>
      <c r="G52" t="s">
        <v>12</v>
      </c>
      <c r="H52">
        <v>178</v>
      </c>
      <c r="I52">
        <v>0.15757790368271957</v>
      </c>
      <c r="J52">
        <v>0.75</v>
      </c>
      <c r="K52">
        <v>1.08</v>
      </c>
      <c r="L52">
        <v>1.37</v>
      </c>
      <c r="M52" t="s">
        <v>953</v>
      </c>
      <c r="N52" t="s">
        <v>184</v>
      </c>
      <c r="O52" t="s">
        <v>944</v>
      </c>
    </row>
    <row r="53" spans="1:17" x14ac:dyDescent="0.25">
      <c r="A53" t="s">
        <v>180</v>
      </c>
      <c r="B53" t="s">
        <v>10</v>
      </c>
      <c r="D53" t="s">
        <v>1333</v>
      </c>
      <c r="E53" s="3"/>
      <c r="F53" t="s">
        <v>199</v>
      </c>
      <c r="G53" t="s">
        <v>12</v>
      </c>
      <c r="H53">
        <v>178</v>
      </c>
      <c r="I53">
        <v>0.21010387157695939</v>
      </c>
      <c r="J53">
        <v>0.78</v>
      </c>
      <c r="K53">
        <v>1.1200000000000001</v>
      </c>
      <c r="L53">
        <v>1.42</v>
      </c>
      <c r="M53" t="s">
        <v>953</v>
      </c>
      <c r="N53" t="s">
        <v>184</v>
      </c>
      <c r="O53" t="s">
        <v>944</v>
      </c>
    </row>
    <row r="54" spans="1:17" x14ac:dyDescent="0.25">
      <c r="A54" t="s">
        <v>180</v>
      </c>
      <c r="B54" t="s">
        <v>10</v>
      </c>
      <c r="D54" t="s">
        <v>1333</v>
      </c>
      <c r="E54" s="3"/>
      <c r="F54" t="s">
        <v>202</v>
      </c>
      <c r="G54" t="s">
        <v>12</v>
      </c>
      <c r="H54">
        <v>178</v>
      </c>
      <c r="I54">
        <v>0.26262983947119928</v>
      </c>
      <c r="J54">
        <v>0.81</v>
      </c>
      <c r="K54">
        <v>1.17</v>
      </c>
      <c r="L54">
        <v>1.47</v>
      </c>
      <c r="M54" t="s">
        <v>953</v>
      </c>
      <c r="N54" t="s">
        <v>184</v>
      </c>
      <c r="O54" t="s">
        <v>944</v>
      </c>
    </row>
    <row r="55" spans="1:17" x14ac:dyDescent="0.25">
      <c r="A55" t="s">
        <v>180</v>
      </c>
      <c r="B55" t="s">
        <v>10</v>
      </c>
      <c r="D55" t="s">
        <v>1333</v>
      </c>
      <c r="E55" s="3"/>
      <c r="F55" t="s">
        <v>205</v>
      </c>
      <c r="G55" t="s">
        <v>12</v>
      </c>
      <c r="H55">
        <v>178</v>
      </c>
      <c r="I55">
        <v>0.31515580736543913</v>
      </c>
      <c r="J55">
        <v>0.83</v>
      </c>
      <c r="K55">
        <v>1.21</v>
      </c>
      <c r="L55">
        <v>1.53</v>
      </c>
      <c r="M55" t="s">
        <v>953</v>
      </c>
      <c r="N55" t="s">
        <v>184</v>
      </c>
      <c r="O55" t="s">
        <v>944</v>
      </c>
    </row>
    <row r="56" spans="1:17" x14ac:dyDescent="0.25">
      <c r="A56" t="s">
        <v>180</v>
      </c>
      <c r="B56" t="s">
        <v>10</v>
      </c>
      <c r="D56" t="s">
        <v>1334</v>
      </c>
      <c r="E56" s="4"/>
      <c r="F56" t="s">
        <v>208</v>
      </c>
      <c r="G56" t="s">
        <v>12</v>
      </c>
      <c r="H56">
        <v>2127</v>
      </c>
      <c r="I56">
        <v>1.0795679886685554</v>
      </c>
      <c r="J56">
        <v>1.1200000000000001</v>
      </c>
      <c r="K56">
        <v>1.53</v>
      </c>
      <c r="L56">
        <v>1.9</v>
      </c>
      <c r="M56" t="s">
        <v>1323</v>
      </c>
      <c r="N56" t="s">
        <v>184</v>
      </c>
      <c r="O56" t="s">
        <v>944</v>
      </c>
      <c r="P56" t="s">
        <v>1324</v>
      </c>
    </row>
    <row r="57" spans="1:17" x14ac:dyDescent="0.25">
      <c r="A57" t="s">
        <v>211</v>
      </c>
      <c r="B57" t="s">
        <v>10</v>
      </c>
      <c r="D57" t="s">
        <v>1339</v>
      </c>
      <c r="E57" s="3"/>
      <c r="F57" t="s">
        <v>222</v>
      </c>
      <c r="G57" t="s">
        <v>12</v>
      </c>
      <c r="H57" t="s">
        <v>961</v>
      </c>
      <c r="I57" t="s">
        <v>961</v>
      </c>
      <c r="J57">
        <v>6.25</v>
      </c>
      <c r="K57">
        <v>7.46</v>
      </c>
      <c r="L57">
        <v>8.8000000000000007</v>
      </c>
      <c r="M57" t="s">
        <v>1231</v>
      </c>
      <c r="N57" t="s">
        <v>1341</v>
      </c>
      <c r="O57" t="s">
        <v>12</v>
      </c>
      <c r="Q57" t="s">
        <v>12</v>
      </c>
    </row>
    <row r="58" spans="1:17" x14ac:dyDescent="0.25">
      <c r="A58" t="s">
        <v>211</v>
      </c>
      <c r="B58" t="s">
        <v>10</v>
      </c>
      <c r="D58" t="s">
        <v>1339</v>
      </c>
      <c r="E58" s="3"/>
      <c r="F58" t="s">
        <v>226</v>
      </c>
      <c r="G58" t="s">
        <v>12</v>
      </c>
      <c r="H58" t="s">
        <v>961</v>
      </c>
      <c r="I58" t="s">
        <v>961</v>
      </c>
      <c r="J58">
        <v>6.25</v>
      </c>
      <c r="K58">
        <v>8.07</v>
      </c>
      <c r="L58">
        <v>9.8000000000000007</v>
      </c>
      <c r="M58" t="s">
        <v>1231</v>
      </c>
      <c r="N58" t="s">
        <v>1341</v>
      </c>
      <c r="O58" t="s">
        <v>12</v>
      </c>
      <c r="Q58" t="s">
        <v>12</v>
      </c>
    </row>
    <row r="59" spans="1:17" x14ac:dyDescent="0.25">
      <c r="A59" t="s">
        <v>211</v>
      </c>
      <c r="B59" t="s">
        <v>10</v>
      </c>
      <c r="D59" t="s">
        <v>1339</v>
      </c>
      <c r="E59" s="3"/>
      <c r="F59" t="s">
        <v>228</v>
      </c>
      <c r="G59" t="s">
        <v>12</v>
      </c>
      <c r="H59" t="s">
        <v>961</v>
      </c>
      <c r="I59" t="s">
        <v>961</v>
      </c>
      <c r="J59">
        <v>8.15</v>
      </c>
      <c r="K59">
        <v>9.9700000000000006</v>
      </c>
      <c r="L59">
        <v>11.9</v>
      </c>
      <c r="M59" t="s">
        <v>1231</v>
      </c>
      <c r="N59" t="s">
        <v>1341</v>
      </c>
      <c r="O59" t="s">
        <v>12</v>
      </c>
      <c r="Q59" t="s">
        <v>12</v>
      </c>
    </row>
    <row r="60" spans="1:17" x14ac:dyDescent="0.25">
      <c r="A60" t="s">
        <v>211</v>
      </c>
      <c r="B60" t="s">
        <v>10</v>
      </c>
      <c r="D60" t="s">
        <v>1346</v>
      </c>
      <c r="E60" s="4"/>
      <c r="F60" t="s">
        <v>1343</v>
      </c>
      <c r="G60" t="s">
        <v>12</v>
      </c>
      <c r="H60" t="s">
        <v>965</v>
      </c>
      <c r="I60" t="s">
        <v>965</v>
      </c>
      <c r="J60">
        <v>30.5</v>
      </c>
      <c r="K60">
        <v>39.85</v>
      </c>
      <c r="L60">
        <v>49</v>
      </c>
      <c r="M60" t="s">
        <v>1233</v>
      </c>
      <c r="N60" t="s">
        <v>1342</v>
      </c>
      <c r="O60" t="s">
        <v>12</v>
      </c>
    </row>
    <row r="61" spans="1:17" x14ac:dyDescent="0.25">
      <c r="A61" t="s">
        <v>211</v>
      </c>
      <c r="B61" t="s">
        <v>10</v>
      </c>
      <c r="D61" t="s">
        <v>1338</v>
      </c>
      <c r="E61" s="3"/>
      <c r="F61" t="s">
        <v>1344</v>
      </c>
      <c r="G61" t="s">
        <v>12</v>
      </c>
      <c r="H61" t="s">
        <v>967</v>
      </c>
      <c r="I61" t="s">
        <v>967</v>
      </c>
      <c r="J61">
        <v>14.8</v>
      </c>
      <c r="K61">
        <v>17.64</v>
      </c>
      <c r="L61">
        <v>21</v>
      </c>
      <c r="M61" t="s">
        <v>1234</v>
      </c>
      <c r="N61" t="s">
        <v>240</v>
      </c>
      <c r="O61" t="s">
        <v>12</v>
      </c>
    </row>
    <row r="62" spans="1:17" x14ac:dyDescent="0.25">
      <c r="A62" t="s">
        <v>211</v>
      </c>
      <c r="B62" t="s">
        <v>10</v>
      </c>
      <c r="D62" t="s">
        <v>1338</v>
      </c>
      <c r="E62" s="3"/>
      <c r="F62" t="s">
        <v>1345</v>
      </c>
      <c r="G62" t="s">
        <v>12</v>
      </c>
      <c r="H62" t="s">
        <v>967</v>
      </c>
      <c r="I62" t="s">
        <v>967</v>
      </c>
      <c r="J62">
        <v>25</v>
      </c>
      <c r="K62">
        <v>28.38</v>
      </c>
      <c r="L62">
        <v>33</v>
      </c>
      <c r="M62" t="s">
        <v>1234</v>
      </c>
      <c r="N62" t="s">
        <v>240</v>
      </c>
      <c r="O62" t="s">
        <v>12</v>
      </c>
    </row>
    <row r="63" spans="1:17" x14ac:dyDescent="0.25">
      <c r="A63" t="s">
        <v>211</v>
      </c>
      <c r="B63" t="s">
        <v>10</v>
      </c>
      <c r="D63" t="s">
        <v>1338</v>
      </c>
      <c r="E63" s="4"/>
      <c r="F63" t="s">
        <v>241</v>
      </c>
      <c r="G63" t="s">
        <v>12</v>
      </c>
      <c r="H63" t="s">
        <v>969</v>
      </c>
      <c r="I63" t="s">
        <v>969</v>
      </c>
      <c r="J63">
        <v>7.85</v>
      </c>
      <c r="K63">
        <v>16.850000000000001</v>
      </c>
      <c r="L63">
        <v>23</v>
      </c>
      <c r="M63" t="s">
        <v>1235</v>
      </c>
      <c r="N63" t="s">
        <v>244</v>
      </c>
      <c r="O63" t="s">
        <v>12</v>
      </c>
    </row>
    <row r="64" spans="1:17" x14ac:dyDescent="0.25">
      <c r="A64" t="s">
        <v>211</v>
      </c>
      <c r="B64" t="s">
        <v>10</v>
      </c>
      <c r="D64" t="s">
        <v>1338</v>
      </c>
      <c r="E64" s="4"/>
      <c r="F64" t="s">
        <v>245</v>
      </c>
      <c r="G64" t="s">
        <v>12</v>
      </c>
      <c r="H64" t="s">
        <v>969</v>
      </c>
      <c r="I64" t="s">
        <v>969</v>
      </c>
      <c r="J64">
        <v>1</v>
      </c>
      <c r="K64">
        <v>10</v>
      </c>
      <c r="L64">
        <v>15.5</v>
      </c>
      <c r="M64" t="s">
        <v>1235</v>
      </c>
      <c r="N64" t="s">
        <v>244</v>
      </c>
      <c r="O64" t="s">
        <v>12</v>
      </c>
    </row>
    <row r="65" spans="1:17" x14ac:dyDescent="0.25">
      <c r="A65" t="s">
        <v>211</v>
      </c>
      <c r="B65" t="s">
        <v>10</v>
      </c>
      <c r="D65" t="s">
        <v>1337</v>
      </c>
      <c r="E65" s="3"/>
      <c r="F65" t="s">
        <v>248</v>
      </c>
      <c r="G65" t="s">
        <v>12</v>
      </c>
      <c r="H65" t="s">
        <v>971</v>
      </c>
      <c r="I65" t="s">
        <v>971</v>
      </c>
      <c r="J65">
        <v>3.72</v>
      </c>
      <c r="K65">
        <v>4.6900000000000004</v>
      </c>
      <c r="L65">
        <v>5.65</v>
      </c>
      <c r="M65" t="s">
        <v>1236</v>
      </c>
      <c r="N65" t="s">
        <v>251</v>
      </c>
      <c r="O65" t="s">
        <v>12</v>
      </c>
    </row>
    <row r="66" spans="1:17" x14ac:dyDescent="0.25">
      <c r="A66" t="s">
        <v>211</v>
      </c>
      <c r="B66" t="s">
        <v>10</v>
      </c>
      <c r="D66" t="s">
        <v>1337</v>
      </c>
      <c r="E66" s="3"/>
      <c r="F66" t="s">
        <v>252</v>
      </c>
      <c r="G66" t="s">
        <v>12</v>
      </c>
      <c r="H66" t="s">
        <v>971</v>
      </c>
      <c r="I66" t="s">
        <v>971</v>
      </c>
      <c r="J66">
        <v>5.4</v>
      </c>
      <c r="K66">
        <v>6.37</v>
      </c>
      <c r="L66">
        <v>7.5</v>
      </c>
      <c r="M66" t="s">
        <v>1236</v>
      </c>
      <c r="N66" t="s">
        <v>251</v>
      </c>
      <c r="O66" t="s">
        <v>12</v>
      </c>
    </row>
    <row r="67" spans="1:17" x14ac:dyDescent="0.25">
      <c r="A67" t="s">
        <v>211</v>
      </c>
      <c r="B67" t="s">
        <v>10</v>
      </c>
      <c r="D67" t="s">
        <v>1337</v>
      </c>
      <c r="E67" s="3"/>
      <c r="F67" t="s">
        <v>255</v>
      </c>
      <c r="G67" t="s">
        <v>12</v>
      </c>
      <c r="H67" t="s">
        <v>971</v>
      </c>
      <c r="I67" t="s">
        <v>971</v>
      </c>
      <c r="J67">
        <v>4.76</v>
      </c>
      <c r="K67">
        <v>5.73</v>
      </c>
      <c r="L67">
        <v>6.8</v>
      </c>
      <c r="M67" t="s">
        <v>1236</v>
      </c>
      <c r="N67" t="s">
        <v>251</v>
      </c>
      <c r="O67" t="s">
        <v>12</v>
      </c>
    </row>
    <row r="68" spans="1:17" x14ac:dyDescent="0.25">
      <c r="A68" t="s">
        <v>211</v>
      </c>
      <c r="B68" t="s">
        <v>10</v>
      </c>
      <c r="D68" t="s">
        <v>1337</v>
      </c>
      <c r="E68" s="3"/>
      <c r="F68" t="s">
        <v>258</v>
      </c>
      <c r="G68" t="s">
        <v>12</v>
      </c>
      <c r="H68" t="s">
        <v>971</v>
      </c>
      <c r="I68" t="s">
        <v>971</v>
      </c>
      <c r="J68">
        <v>5.15</v>
      </c>
      <c r="K68">
        <v>6.12</v>
      </c>
      <c r="L68">
        <v>7.25</v>
      </c>
      <c r="M68" t="s">
        <v>1236</v>
      </c>
      <c r="N68" t="s">
        <v>251</v>
      </c>
      <c r="O68" t="s">
        <v>12</v>
      </c>
    </row>
    <row r="69" spans="1:17" x14ac:dyDescent="0.25">
      <c r="A69" t="s">
        <v>211</v>
      </c>
      <c r="B69" t="s">
        <v>10</v>
      </c>
      <c r="D69" t="s">
        <v>1336</v>
      </c>
      <c r="E69" s="4"/>
      <c r="F69" t="s">
        <v>261</v>
      </c>
      <c r="G69" t="s">
        <v>12</v>
      </c>
      <c r="J69">
        <v>6.4</v>
      </c>
      <c r="K69">
        <v>8.19</v>
      </c>
      <c r="L69">
        <v>9.9499999999999993</v>
      </c>
      <c r="N69" t="s">
        <v>264</v>
      </c>
    </row>
    <row r="70" spans="1:17" x14ac:dyDescent="0.25">
      <c r="A70" t="s">
        <v>211</v>
      </c>
      <c r="B70" t="s">
        <v>10</v>
      </c>
      <c r="D70" t="s">
        <v>1336</v>
      </c>
      <c r="E70" s="3"/>
      <c r="F70" t="s">
        <v>265</v>
      </c>
      <c r="G70" t="s">
        <v>12</v>
      </c>
      <c r="H70" t="s">
        <v>973</v>
      </c>
      <c r="I70" t="s">
        <v>973</v>
      </c>
      <c r="J70">
        <v>4.07</v>
      </c>
      <c r="K70">
        <v>4.92</v>
      </c>
      <c r="L70">
        <v>5.85</v>
      </c>
      <c r="M70" t="s">
        <v>1237</v>
      </c>
      <c r="N70" t="s">
        <v>268</v>
      </c>
      <c r="O70" t="s">
        <v>12</v>
      </c>
    </row>
    <row r="71" spans="1:17" x14ac:dyDescent="0.25">
      <c r="A71" t="s">
        <v>211</v>
      </c>
      <c r="B71" t="s">
        <v>10</v>
      </c>
      <c r="D71" t="s">
        <v>1336</v>
      </c>
      <c r="E71" s="3"/>
      <c r="F71" t="s">
        <v>265</v>
      </c>
      <c r="G71" t="s">
        <v>12</v>
      </c>
      <c r="H71" t="s">
        <v>975</v>
      </c>
      <c r="I71" t="s">
        <v>975</v>
      </c>
      <c r="J71">
        <v>4.07</v>
      </c>
      <c r="K71">
        <v>4.92</v>
      </c>
      <c r="L71">
        <v>5.85</v>
      </c>
      <c r="M71" t="s">
        <v>1238</v>
      </c>
      <c r="N71" t="s">
        <v>268</v>
      </c>
      <c r="O71" t="s">
        <v>12</v>
      </c>
    </row>
    <row r="72" spans="1:17" x14ac:dyDescent="0.25">
      <c r="A72" t="s">
        <v>211</v>
      </c>
      <c r="B72" t="s">
        <v>10</v>
      </c>
      <c r="D72" t="s">
        <v>1336</v>
      </c>
      <c r="E72" s="3"/>
      <c r="F72" t="s">
        <v>265</v>
      </c>
      <c r="G72" t="s">
        <v>12</v>
      </c>
      <c r="H72" t="s">
        <v>977</v>
      </c>
      <c r="I72" t="s">
        <v>977</v>
      </c>
      <c r="J72">
        <v>4.07</v>
      </c>
      <c r="K72">
        <v>4.92</v>
      </c>
      <c r="L72">
        <v>5.85</v>
      </c>
      <c r="M72" t="s">
        <v>1239</v>
      </c>
      <c r="N72" t="s">
        <v>268</v>
      </c>
      <c r="O72" t="s">
        <v>12</v>
      </c>
    </row>
    <row r="73" spans="1:17" x14ac:dyDescent="0.25">
      <c r="A73" t="s">
        <v>211</v>
      </c>
      <c r="B73" t="s">
        <v>10</v>
      </c>
      <c r="D73" t="s">
        <v>1336</v>
      </c>
      <c r="E73" s="4"/>
      <c r="F73" t="s">
        <v>278</v>
      </c>
      <c r="G73" t="s">
        <v>12</v>
      </c>
      <c r="J73">
        <v>1.37</v>
      </c>
      <c r="K73">
        <v>1.98</v>
      </c>
      <c r="L73">
        <v>2.4900000000000002</v>
      </c>
      <c r="N73" t="s">
        <v>1347</v>
      </c>
    </row>
    <row r="74" spans="1:17" x14ac:dyDescent="0.25">
      <c r="A74" t="s">
        <v>211</v>
      </c>
      <c r="B74" t="s">
        <v>10</v>
      </c>
      <c r="D74" t="s">
        <v>1336</v>
      </c>
      <c r="E74" s="4"/>
      <c r="F74" t="s">
        <v>281</v>
      </c>
      <c r="G74" t="s">
        <v>12</v>
      </c>
      <c r="J74">
        <v>2.08</v>
      </c>
      <c r="K74">
        <v>2.69</v>
      </c>
      <c r="L74">
        <v>3.27</v>
      </c>
      <c r="N74" t="s">
        <v>1347</v>
      </c>
    </row>
    <row r="75" spans="1:17" x14ac:dyDescent="0.25">
      <c r="A75" t="s">
        <v>211</v>
      </c>
      <c r="B75" t="s">
        <v>10</v>
      </c>
      <c r="D75" t="s">
        <v>1335</v>
      </c>
      <c r="E75" s="3"/>
      <c r="F75" t="s">
        <v>284</v>
      </c>
      <c r="G75" t="s">
        <v>12</v>
      </c>
      <c r="H75" t="s">
        <v>979</v>
      </c>
      <c r="I75" t="s">
        <v>979</v>
      </c>
      <c r="J75">
        <v>1.79</v>
      </c>
      <c r="K75">
        <v>2.2400000000000002</v>
      </c>
      <c r="L75">
        <v>2.69</v>
      </c>
      <c r="M75" t="s">
        <v>1240</v>
      </c>
      <c r="N75" t="s">
        <v>287</v>
      </c>
      <c r="O75" t="s">
        <v>12</v>
      </c>
    </row>
    <row r="76" spans="1:17" x14ac:dyDescent="0.25">
      <c r="A76" t="s">
        <v>211</v>
      </c>
      <c r="B76" t="s">
        <v>10</v>
      </c>
      <c r="D76" t="s">
        <v>1335</v>
      </c>
      <c r="E76" s="3"/>
      <c r="F76" t="s">
        <v>1340</v>
      </c>
      <c r="G76" t="s">
        <v>12</v>
      </c>
      <c r="H76" t="s">
        <v>983</v>
      </c>
      <c r="I76" t="s">
        <v>983</v>
      </c>
      <c r="J76">
        <v>1.84</v>
      </c>
      <c r="K76">
        <v>2.29</v>
      </c>
      <c r="L76">
        <v>2.75</v>
      </c>
      <c r="M76" t="s">
        <v>1242</v>
      </c>
      <c r="N76" t="s">
        <v>287</v>
      </c>
      <c r="O76" t="s">
        <v>12</v>
      </c>
    </row>
    <row r="77" spans="1:17" x14ac:dyDescent="0.25">
      <c r="A77" t="s">
        <v>311</v>
      </c>
      <c r="B77" t="s">
        <v>10</v>
      </c>
      <c r="D77" t="s">
        <v>1350</v>
      </c>
      <c r="E77" s="4"/>
      <c r="F77" t="s">
        <v>312</v>
      </c>
      <c r="G77" t="s">
        <v>106</v>
      </c>
      <c r="H77" t="s">
        <v>986</v>
      </c>
      <c r="I77">
        <v>190.8</v>
      </c>
      <c r="J77">
        <v>1314</v>
      </c>
      <c r="K77">
        <v>1437</v>
      </c>
      <c r="L77">
        <v>1650</v>
      </c>
      <c r="M77" t="s">
        <v>1243</v>
      </c>
      <c r="N77" t="s">
        <v>316</v>
      </c>
      <c r="O77" t="s">
        <v>889</v>
      </c>
      <c r="P77" t="s">
        <v>1348</v>
      </c>
      <c r="Q77" t="s">
        <v>77</v>
      </c>
    </row>
    <row r="78" spans="1:17" x14ac:dyDescent="0.25">
      <c r="A78" t="s">
        <v>311</v>
      </c>
      <c r="B78" t="s">
        <v>10</v>
      </c>
      <c r="D78" t="s">
        <v>1350</v>
      </c>
      <c r="E78" s="4"/>
      <c r="F78" t="s">
        <v>317</v>
      </c>
      <c r="G78" t="s">
        <v>106</v>
      </c>
      <c r="H78" t="s">
        <v>986</v>
      </c>
      <c r="I78">
        <v>381.6</v>
      </c>
      <c r="J78">
        <v>2910</v>
      </c>
      <c r="K78">
        <v>3057</v>
      </c>
      <c r="L78">
        <v>3450</v>
      </c>
      <c r="M78" t="s">
        <v>1243</v>
      </c>
      <c r="N78" t="s">
        <v>316</v>
      </c>
      <c r="O78" t="s">
        <v>889</v>
      </c>
      <c r="P78" t="s">
        <v>1349</v>
      </c>
      <c r="Q78" t="s">
        <v>77</v>
      </c>
    </row>
    <row r="79" spans="1:17" x14ac:dyDescent="0.25">
      <c r="A79" t="s">
        <v>311</v>
      </c>
      <c r="B79" t="s">
        <v>10</v>
      </c>
      <c r="D79" t="s">
        <v>1351</v>
      </c>
      <c r="E79" s="3"/>
      <c r="F79" t="s">
        <v>321</v>
      </c>
      <c r="G79" t="s">
        <v>106</v>
      </c>
      <c r="H79" t="s">
        <v>986</v>
      </c>
      <c r="I79">
        <v>445.20000000000005</v>
      </c>
      <c r="J79">
        <v>3066</v>
      </c>
      <c r="K79">
        <v>3353</v>
      </c>
      <c r="L79">
        <v>3850</v>
      </c>
      <c r="M79" t="s">
        <v>1243</v>
      </c>
      <c r="N79" t="s">
        <v>316</v>
      </c>
      <c r="O79" t="s">
        <v>889</v>
      </c>
      <c r="P79" t="s">
        <v>1348</v>
      </c>
      <c r="Q79" t="s">
        <v>77</v>
      </c>
    </row>
    <row r="80" spans="1:17" x14ac:dyDescent="0.25">
      <c r="A80" t="s">
        <v>311</v>
      </c>
      <c r="B80" t="s">
        <v>10</v>
      </c>
      <c r="D80" t="s">
        <v>1351</v>
      </c>
      <c r="E80" s="3"/>
      <c r="F80" t="s">
        <v>325</v>
      </c>
      <c r="G80" t="s">
        <v>106</v>
      </c>
      <c r="H80" t="s">
        <v>986</v>
      </c>
      <c r="I80">
        <v>890.40000000000009</v>
      </c>
      <c r="J80">
        <v>6790</v>
      </c>
      <c r="K80">
        <v>7133</v>
      </c>
      <c r="L80">
        <v>8050</v>
      </c>
      <c r="M80" t="s">
        <v>1243</v>
      </c>
      <c r="N80" t="s">
        <v>316</v>
      </c>
      <c r="O80" t="s">
        <v>889</v>
      </c>
      <c r="P80" t="s">
        <v>1349</v>
      </c>
      <c r="Q80" t="s">
        <v>77</v>
      </c>
    </row>
    <row r="81" spans="1:19" x14ac:dyDescent="0.25">
      <c r="A81" t="s">
        <v>311</v>
      </c>
      <c r="B81" t="s">
        <v>10</v>
      </c>
      <c r="D81" t="s">
        <v>1352</v>
      </c>
      <c r="E81" s="4"/>
      <c r="F81" t="s">
        <v>329</v>
      </c>
      <c r="G81" t="s">
        <v>106</v>
      </c>
      <c r="H81" t="s">
        <v>986</v>
      </c>
      <c r="I81">
        <v>795</v>
      </c>
      <c r="J81">
        <v>5475</v>
      </c>
      <c r="K81">
        <v>5987.5</v>
      </c>
      <c r="L81">
        <v>6875</v>
      </c>
      <c r="M81" t="s">
        <v>1243</v>
      </c>
      <c r="N81" t="s">
        <v>316</v>
      </c>
      <c r="O81" t="s">
        <v>889</v>
      </c>
      <c r="P81" t="s">
        <v>1348</v>
      </c>
      <c r="Q81" t="s">
        <v>77</v>
      </c>
    </row>
    <row r="82" spans="1:19" x14ac:dyDescent="0.25">
      <c r="A82" t="s">
        <v>311</v>
      </c>
      <c r="B82" t="s">
        <v>10</v>
      </c>
      <c r="D82" t="s">
        <v>1352</v>
      </c>
      <c r="E82" s="4"/>
      <c r="F82" t="s">
        <v>333</v>
      </c>
      <c r="G82" t="s">
        <v>106</v>
      </c>
      <c r="H82" t="s">
        <v>986</v>
      </c>
      <c r="I82">
        <v>1590</v>
      </c>
      <c r="J82">
        <v>12125</v>
      </c>
      <c r="K82">
        <v>12737.5</v>
      </c>
      <c r="L82">
        <v>14375</v>
      </c>
      <c r="M82" t="s">
        <v>1243</v>
      </c>
      <c r="N82" t="s">
        <v>316</v>
      </c>
      <c r="O82" t="s">
        <v>889</v>
      </c>
      <c r="P82" t="s">
        <v>1349</v>
      </c>
      <c r="Q82" t="s">
        <v>77</v>
      </c>
    </row>
    <row r="83" spans="1:19" x14ac:dyDescent="0.25">
      <c r="A83" t="s">
        <v>337</v>
      </c>
      <c r="B83" t="s">
        <v>10</v>
      </c>
      <c r="D83" t="s">
        <v>1350</v>
      </c>
      <c r="E83" s="3"/>
      <c r="F83" t="s">
        <v>312</v>
      </c>
      <c r="G83" t="s">
        <v>106</v>
      </c>
      <c r="H83" t="s">
        <v>986</v>
      </c>
      <c r="I83">
        <v>190.8</v>
      </c>
      <c r="J83">
        <v>1314</v>
      </c>
      <c r="K83">
        <v>1437</v>
      </c>
      <c r="L83">
        <v>1650</v>
      </c>
      <c r="M83" t="s">
        <v>1243</v>
      </c>
      <c r="N83" t="s">
        <v>316</v>
      </c>
      <c r="O83" t="s">
        <v>889</v>
      </c>
      <c r="P83" t="s">
        <v>1348</v>
      </c>
      <c r="Q83" t="s">
        <v>77</v>
      </c>
    </row>
    <row r="84" spans="1:19" x14ac:dyDescent="0.25">
      <c r="A84" t="s">
        <v>337</v>
      </c>
      <c r="B84" t="s">
        <v>10</v>
      </c>
      <c r="D84" t="s">
        <v>1350</v>
      </c>
      <c r="E84" s="3"/>
      <c r="F84" t="s">
        <v>317</v>
      </c>
      <c r="G84" t="s">
        <v>106</v>
      </c>
      <c r="H84" t="s">
        <v>986</v>
      </c>
      <c r="I84">
        <v>381.6</v>
      </c>
      <c r="J84">
        <v>2910</v>
      </c>
      <c r="K84">
        <v>3057</v>
      </c>
      <c r="L84">
        <v>3450</v>
      </c>
      <c r="M84" t="s">
        <v>1243</v>
      </c>
      <c r="N84" t="s">
        <v>316</v>
      </c>
      <c r="O84" t="s">
        <v>889</v>
      </c>
      <c r="P84" t="s">
        <v>1349</v>
      </c>
      <c r="Q84" t="s">
        <v>77</v>
      </c>
    </row>
    <row r="85" spans="1:19" x14ac:dyDescent="0.25">
      <c r="A85" t="s">
        <v>337</v>
      </c>
      <c r="B85" t="s">
        <v>10</v>
      </c>
      <c r="D85" t="s">
        <v>1351</v>
      </c>
      <c r="E85" s="4"/>
      <c r="F85" t="s">
        <v>321</v>
      </c>
      <c r="G85" t="s">
        <v>106</v>
      </c>
      <c r="H85" t="s">
        <v>986</v>
      </c>
      <c r="I85">
        <v>445.20000000000005</v>
      </c>
      <c r="J85">
        <v>3066</v>
      </c>
      <c r="K85">
        <v>3353</v>
      </c>
      <c r="L85">
        <v>3850</v>
      </c>
      <c r="M85" t="s">
        <v>1243</v>
      </c>
      <c r="N85" t="s">
        <v>316</v>
      </c>
      <c r="O85" t="s">
        <v>889</v>
      </c>
      <c r="P85" t="s">
        <v>1348</v>
      </c>
      <c r="Q85" t="s">
        <v>77</v>
      </c>
    </row>
    <row r="86" spans="1:19" x14ac:dyDescent="0.25">
      <c r="A86" t="s">
        <v>337</v>
      </c>
      <c r="B86" t="s">
        <v>10</v>
      </c>
      <c r="D86" t="s">
        <v>1351</v>
      </c>
      <c r="E86" s="4"/>
      <c r="F86" t="s">
        <v>325</v>
      </c>
      <c r="G86" t="s">
        <v>106</v>
      </c>
      <c r="H86" t="s">
        <v>986</v>
      </c>
      <c r="I86">
        <v>890.40000000000009</v>
      </c>
      <c r="J86">
        <v>6790</v>
      </c>
      <c r="K86">
        <v>7133</v>
      </c>
      <c r="L86">
        <v>8050</v>
      </c>
      <c r="M86" t="s">
        <v>1243</v>
      </c>
      <c r="N86" t="s">
        <v>316</v>
      </c>
      <c r="O86" t="s">
        <v>889</v>
      </c>
      <c r="P86" t="s">
        <v>1349</v>
      </c>
      <c r="Q86" t="s">
        <v>77</v>
      </c>
    </row>
    <row r="87" spans="1:19" x14ac:dyDescent="0.25">
      <c r="A87" t="s">
        <v>337</v>
      </c>
      <c r="B87" t="s">
        <v>10</v>
      </c>
      <c r="D87" t="s">
        <v>1352</v>
      </c>
      <c r="E87" s="3"/>
      <c r="F87" t="s">
        <v>329</v>
      </c>
      <c r="G87" t="s">
        <v>106</v>
      </c>
      <c r="H87" t="s">
        <v>986</v>
      </c>
      <c r="I87">
        <v>795</v>
      </c>
      <c r="J87">
        <v>5475</v>
      </c>
      <c r="K87">
        <v>5987.5</v>
      </c>
      <c r="L87">
        <v>6875</v>
      </c>
      <c r="M87" t="s">
        <v>1243</v>
      </c>
      <c r="N87" t="s">
        <v>316</v>
      </c>
      <c r="O87" t="s">
        <v>889</v>
      </c>
      <c r="P87" t="s">
        <v>1348</v>
      </c>
      <c r="Q87" t="s">
        <v>77</v>
      </c>
    </row>
    <row r="88" spans="1:19" x14ac:dyDescent="0.25">
      <c r="A88" t="s">
        <v>337</v>
      </c>
      <c r="B88" t="s">
        <v>10</v>
      </c>
      <c r="D88" t="s">
        <v>1352</v>
      </c>
      <c r="E88" s="3"/>
      <c r="F88" t="s">
        <v>333</v>
      </c>
      <c r="G88" t="s">
        <v>106</v>
      </c>
      <c r="H88" t="s">
        <v>986</v>
      </c>
      <c r="I88">
        <v>1590</v>
      </c>
      <c r="J88">
        <v>12125</v>
      </c>
      <c r="K88">
        <v>12737.5</v>
      </c>
      <c r="L88">
        <v>14375</v>
      </c>
      <c r="M88" t="s">
        <v>1243</v>
      </c>
      <c r="N88" t="s">
        <v>316</v>
      </c>
      <c r="O88" t="s">
        <v>889</v>
      </c>
      <c r="P88" t="s">
        <v>1349</v>
      </c>
      <c r="Q88" t="s">
        <v>77</v>
      </c>
    </row>
    <row r="89" spans="1:19" x14ac:dyDescent="0.25">
      <c r="A89" t="s">
        <v>338</v>
      </c>
      <c r="B89" t="s">
        <v>10</v>
      </c>
      <c r="D89" t="s">
        <v>1350</v>
      </c>
      <c r="E89" s="4"/>
      <c r="F89" t="s">
        <v>339</v>
      </c>
      <c r="G89" t="s">
        <v>106</v>
      </c>
      <c r="H89" t="s">
        <v>1010</v>
      </c>
      <c r="I89">
        <v>47.603121516165004</v>
      </c>
      <c r="J89">
        <v>110.39999999999999</v>
      </c>
      <c r="K89">
        <v>172.2</v>
      </c>
      <c r="L89">
        <v>225</v>
      </c>
      <c r="M89" t="s">
        <v>1354</v>
      </c>
      <c r="N89" t="s">
        <v>343</v>
      </c>
      <c r="O89" t="s">
        <v>1003</v>
      </c>
      <c r="P89" t="s">
        <v>1353</v>
      </c>
      <c r="Q89" t="s">
        <v>77</v>
      </c>
      <c r="S89" t="s">
        <v>1012</v>
      </c>
    </row>
    <row r="90" spans="1:19" x14ac:dyDescent="0.25">
      <c r="A90" t="s">
        <v>338</v>
      </c>
      <c r="B90" t="s">
        <v>10</v>
      </c>
      <c r="D90" t="s">
        <v>1350</v>
      </c>
      <c r="E90" s="4"/>
      <c r="F90" t="s">
        <v>344</v>
      </c>
      <c r="G90" t="s">
        <v>106</v>
      </c>
      <c r="H90" t="s">
        <v>1010</v>
      </c>
      <c r="I90">
        <v>47.603121516165004</v>
      </c>
      <c r="J90">
        <v>267</v>
      </c>
      <c r="K90">
        <v>341.1</v>
      </c>
      <c r="L90">
        <v>414</v>
      </c>
      <c r="M90" t="s">
        <v>1354</v>
      </c>
      <c r="N90" t="s">
        <v>343</v>
      </c>
      <c r="O90" t="s">
        <v>1003</v>
      </c>
      <c r="P90" t="s">
        <v>1353</v>
      </c>
      <c r="Q90" t="s">
        <v>77</v>
      </c>
      <c r="S90" t="s">
        <v>1012</v>
      </c>
    </row>
    <row r="91" spans="1:19" x14ac:dyDescent="0.25">
      <c r="A91" t="s">
        <v>338</v>
      </c>
      <c r="B91" t="s">
        <v>10</v>
      </c>
      <c r="D91" t="s">
        <v>1351</v>
      </c>
      <c r="E91" s="3"/>
      <c r="F91" t="s">
        <v>348</v>
      </c>
      <c r="G91" t="s">
        <v>106</v>
      </c>
      <c r="H91" t="s">
        <v>1010</v>
      </c>
      <c r="I91">
        <v>111.073950204385</v>
      </c>
      <c r="J91">
        <v>257.59999999999997</v>
      </c>
      <c r="K91">
        <v>401.8</v>
      </c>
      <c r="L91">
        <v>525</v>
      </c>
      <c r="M91" t="s">
        <v>1354</v>
      </c>
      <c r="N91" t="s">
        <v>343</v>
      </c>
      <c r="O91" t="s">
        <v>1003</v>
      </c>
      <c r="P91" t="s">
        <v>1353</v>
      </c>
      <c r="Q91" t="s">
        <v>77</v>
      </c>
      <c r="S91" t="s">
        <v>1012</v>
      </c>
    </row>
    <row r="92" spans="1:19" x14ac:dyDescent="0.25">
      <c r="A92" t="s">
        <v>338</v>
      </c>
      <c r="B92" t="s">
        <v>10</v>
      </c>
      <c r="D92" t="s">
        <v>1351</v>
      </c>
      <c r="E92" s="3"/>
      <c r="F92" t="s">
        <v>352</v>
      </c>
      <c r="G92" t="s">
        <v>106</v>
      </c>
      <c r="H92" t="s">
        <v>1010</v>
      </c>
      <c r="I92">
        <v>111.073950204385</v>
      </c>
      <c r="J92">
        <v>623</v>
      </c>
      <c r="K92">
        <v>795.9</v>
      </c>
      <c r="L92">
        <v>966</v>
      </c>
      <c r="M92" t="s">
        <v>1354</v>
      </c>
      <c r="N92" t="s">
        <v>343</v>
      </c>
      <c r="O92" t="s">
        <v>1003</v>
      </c>
      <c r="P92" t="s">
        <v>1353</v>
      </c>
      <c r="Q92" t="s">
        <v>77</v>
      </c>
      <c r="S92" t="s">
        <v>1012</v>
      </c>
    </row>
    <row r="93" spans="1:19" x14ac:dyDescent="0.25">
      <c r="A93" t="s">
        <v>338</v>
      </c>
      <c r="B93" t="s">
        <v>10</v>
      </c>
      <c r="D93" t="s">
        <v>1352</v>
      </c>
      <c r="E93" s="4"/>
      <c r="F93" t="s">
        <v>356</v>
      </c>
      <c r="G93" t="s">
        <v>106</v>
      </c>
      <c r="H93" t="s">
        <v>1010</v>
      </c>
      <c r="I93">
        <v>198.3463396506875</v>
      </c>
      <c r="J93">
        <v>459.99999999999994</v>
      </c>
      <c r="K93">
        <v>717.5</v>
      </c>
      <c r="L93">
        <v>937.5</v>
      </c>
      <c r="M93" t="s">
        <v>1354</v>
      </c>
      <c r="N93" t="s">
        <v>343</v>
      </c>
      <c r="O93" t="s">
        <v>1003</v>
      </c>
      <c r="P93" t="s">
        <v>1353</v>
      </c>
      <c r="Q93" t="s">
        <v>77</v>
      </c>
      <c r="S93" t="s">
        <v>1012</v>
      </c>
    </row>
    <row r="94" spans="1:19" x14ac:dyDescent="0.25">
      <c r="A94" t="s">
        <v>338</v>
      </c>
      <c r="B94" t="s">
        <v>10</v>
      </c>
      <c r="D94" t="s">
        <v>1352</v>
      </c>
      <c r="E94" s="4"/>
      <c r="F94" t="s">
        <v>360</v>
      </c>
      <c r="G94" t="s">
        <v>106</v>
      </c>
      <c r="H94" t="s">
        <v>1010</v>
      </c>
      <c r="I94">
        <v>198.3463396506875</v>
      </c>
      <c r="J94">
        <v>1112.5</v>
      </c>
      <c r="K94">
        <v>1421.25</v>
      </c>
      <c r="L94">
        <v>1725</v>
      </c>
      <c r="M94" t="s">
        <v>1354</v>
      </c>
      <c r="N94" t="s">
        <v>343</v>
      </c>
      <c r="O94" t="s">
        <v>1003</v>
      </c>
      <c r="P94" t="s">
        <v>1353</v>
      </c>
      <c r="Q94" t="s">
        <v>77</v>
      </c>
      <c r="S94" t="s">
        <v>1012</v>
      </c>
    </row>
    <row r="95" spans="1:19" x14ac:dyDescent="0.25">
      <c r="A95" t="s">
        <v>364</v>
      </c>
      <c r="B95" t="s">
        <v>10</v>
      </c>
      <c r="E95" s="4"/>
      <c r="F95" t="s">
        <v>365</v>
      </c>
      <c r="G95" t="s">
        <v>106</v>
      </c>
      <c r="H95" t="s">
        <v>986</v>
      </c>
      <c r="I95">
        <f>I96/30*24</f>
        <v>25.56</v>
      </c>
      <c r="J95">
        <v>475</v>
      </c>
      <c r="K95">
        <v>506</v>
      </c>
      <c r="L95">
        <v>575</v>
      </c>
      <c r="M95" t="s">
        <v>1243</v>
      </c>
      <c r="N95" t="s">
        <v>369</v>
      </c>
      <c r="O95" t="s">
        <v>889</v>
      </c>
      <c r="P95" t="s">
        <v>1348</v>
      </c>
      <c r="Q95" t="s">
        <v>106</v>
      </c>
    </row>
    <row r="96" spans="1:19" x14ac:dyDescent="0.25">
      <c r="A96" t="s">
        <v>364</v>
      </c>
      <c r="B96" t="s">
        <v>10</v>
      </c>
      <c r="E96" s="4"/>
      <c r="F96" t="s">
        <v>370</v>
      </c>
      <c r="G96" t="s">
        <v>106</v>
      </c>
      <c r="H96" t="s">
        <v>39</v>
      </c>
      <c r="I96">
        <f>H96*15</f>
        <v>31.95</v>
      </c>
      <c r="J96">
        <v>505</v>
      </c>
      <c r="K96">
        <v>543.5</v>
      </c>
      <c r="L96">
        <v>620</v>
      </c>
      <c r="M96" t="s">
        <v>1243</v>
      </c>
      <c r="N96" t="s">
        <v>369</v>
      </c>
      <c r="O96" t="s">
        <v>889</v>
      </c>
      <c r="P96" t="s">
        <v>1348</v>
      </c>
      <c r="Q96" t="s">
        <v>106</v>
      </c>
    </row>
    <row r="97" spans="1:17" x14ac:dyDescent="0.25">
      <c r="A97" t="s">
        <v>364</v>
      </c>
      <c r="B97" t="s">
        <v>10</v>
      </c>
      <c r="E97" s="4"/>
      <c r="F97" t="s">
        <v>374</v>
      </c>
      <c r="G97" t="s">
        <v>106</v>
      </c>
      <c r="H97" t="s">
        <v>73</v>
      </c>
      <c r="I97">
        <f>I96/30*36</f>
        <v>38.339999999999996</v>
      </c>
      <c r="J97">
        <v>425</v>
      </c>
      <c r="K97">
        <v>471.5</v>
      </c>
      <c r="L97">
        <v>545</v>
      </c>
      <c r="M97" t="s">
        <v>1243</v>
      </c>
      <c r="N97" t="s">
        <v>369</v>
      </c>
      <c r="O97" t="s">
        <v>889</v>
      </c>
      <c r="P97" t="s">
        <v>1348</v>
      </c>
      <c r="Q97" t="s">
        <v>106</v>
      </c>
    </row>
    <row r="98" spans="1:17" x14ac:dyDescent="0.25">
      <c r="A98" t="s">
        <v>364</v>
      </c>
      <c r="B98" t="s">
        <v>10</v>
      </c>
      <c r="E98" s="4"/>
      <c r="F98" t="s">
        <v>378</v>
      </c>
      <c r="G98" t="s">
        <v>106</v>
      </c>
      <c r="H98" t="s">
        <v>824</v>
      </c>
      <c r="I98">
        <f>I96/30*48</f>
        <v>51.12</v>
      </c>
      <c r="J98">
        <v>555</v>
      </c>
      <c r="K98">
        <v>609</v>
      </c>
      <c r="L98">
        <v>700</v>
      </c>
      <c r="M98" t="s">
        <v>1243</v>
      </c>
      <c r="N98" t="s">
        <v>369</v>
      </c>
      <c r="O98" t="s">
        <v>889</v>
      </c>
      <c r="P98" t="s">
        <v>1348</v>
      </c>
      <c r="Q98" t="s">
        <v>106</v>
      </c>
    </row>
    <row r="99" spans="1:17" x14ac:dyDescent="0.25">
      <c r="A99" t="s">
        <v>399</v>
      </c>
      <c r="B99" t="s">
        <v>10</v>
      </c>
      <c r="F99" t="s">
        <v>400</v>
      </c>
      <c r="G99" t="s">
        <v>106</v>
      </c>
      <c r="H99">
        <v>0.27389999999999998</v>
      </c>
      <c r="I99">
        <f>H99*J99</f>
        <v>205.42499999999998</v>
      </c>
      <c r="J99">
        <v>750</v>
      </c>
      <c r="K99">
        <v>837</v>
      </c>
      <c r="L99">
        <v>965</v>
      </c>
      <c r="M99" t="s">
        <v>1751</v>
      </c>
      <c r="N99" t="s">
        <v>404</v>
      </c>
      <c r="O99" t="s">
        <v>1755</v>
      </c>
      <c r="Q99" t="s">
        <v>106</v>
      </c>
    </row>
    <row r="100" spans="1:17" x14ac:dyDescent="0.25">
      <c r="A100" t="s">
        <v>399</v>
      </c>
      <c r="B100" t="s">
        <v>10</v>
      </c>
      <c r="F100" t="s">
        <v>405</v>
      </c>
      <c r="G100" t="s">
        <v>106</v>
      </c>
      <c r="H100">
        <v>0.27389999999999998</v>
      </c>
      <c r="I100">
        <f t="shared" ref="I100:I106" si="4">H100*J100</f>
        <v>287.59499999999997</v>
      </c>
      <c r="J100">
        <v>1050</v>
      </c>
      <c r="K100">
        <v>1195</v>
      </c>
      <c r="L100">
        <v>1375</v>
      </c>
      <c r="M100" t="s">
        <v>1752</v>
      </c>
      <c r="N100" t="s">
        <v>404</v>
      </c>
      <c r="O100" t="s">
        <v>1755</v>
      </c>
      <c r="Q100" t="s">
        <v>106</v>
      </c>
    </row>
    <row r="101" spans="1:17" x14ac:dyDescent="0.25">
      <c r="A101" t="s">
        <v>399</v>
      </c>
      <c r="B101" t="s">
        <v>10</v>
      </c>
      <c r="F101" t="s">
        <v>408</v>
      </c>
      <c r="G101" t="s">
        <v>106</v>
      </c>
      <c r="H101">
        <v>0.27389999999999998</v>
      </c>
      <c r="I101">
        <f t="shared" si="4"/>
        <v>575.18999999999994</v>
      </c>
      <c r="J101">
        <v>2100</v>
      </c>
      <c r="K101">
        <v>2317</v>
      </c>
      <c r="L101">
        <v>2650</v>
      </c>
      <c r="M101" t="s">
        <v>1753</v>
      </c>
      <c r="N101" t="s">
        <v>404</v>
      </c>
      <c r="O101" t="s">
        <v>1755</v>
      </c>
      <c r="Q101" t="s">
        <v>106</v>
      </c>
    </row>
    <row r="102" spans="1:17" x14ac:dyDescent="0.25">
      <c r="A102" t="s">
        <v>399</v>
      </c>
      <c r="B102" t="s">
        <v>10</v>
      </c>
      <c r="F102" t="s">
        <v>412</v>
      </c>
      <c r="G102" t="s">
        <v>106</v>
      </c>
      <c r="H102">
        <v>0.27389999999999998</v>
      </c>
      <c r="I102">
        <f t="shared" si="4"/>
        <v>794.31</v>
      </c>
      <c r="J102">
        <v>2900</v>
      </c>
      <c r="K102">
        <v>3335</v>
      </c>
      <c r="L102">
        <v>3900</v>
      </c>
      <c r="M102" t="s">
        <v>1754</v>
      </c>
      <c r="N102" t="s">
        <v>404</v>
      </c>
      <c r="O102" t="s">
        <v>1755</v>
      </c>
      <c r="Q102" t="s">
        <v>106</v>
      </c>
    </row>
    <row r="103" spans="1:17" x14ac:dyDescent="0.25">
      <c r="A103" t="s">
        <v>399</v>
      </c>
      <c r="B103" t="s">
        <v>10</v>
      </c>
      <c r="F103" t="s">
        <v>416</v>
      </c>
      <c r="G103" t="s">
        <v>106</v>
      </c>
      <c r="H103">
        <v>0.27389999999999998</v>
      </c>
      <c r="I103">
        <f t="shared" si="4"/>
        <v>520.41</v>
      </c>
      <c r="J103">
        <v>1900</v>
      </c>
      <c r="K103">
        <v>2038</v>
      </c>
      <c r="L103">
        <v>2325</v>
      </c>
      <c r="M103" t="s">
        <v>1756</v>
      </c>
      <c r="N103" t="s">
        <v>404</v>
      </c>
      <c r="O103" t="s">
        <v>1755</v>
      </c>
      <c r="Q103" t="s">
        <v>106</v>
      </c>
    </row>
    <row r="104" spans="1:17" x14ac:dyDescent="0.25">
      <c r="A104" t="s">
        <v>399</v>
      </c>
      <c r="B104" t="s">
        <v>10</v>
      </c>
      <c r="F104" t="s">
        <v>420</v>
      </c>
      <c r="G104" t="s">
        <v>106</v>
      </c>
      <c r="H104">
        <v>0.27389999999999998</v>
      </c>
      <c r="I104">
        <f t="shared" si="4"/>
        <v>725.83499999999992</v>
      </c>
      <c r="J104">
        <v>2650</v>
      </c>
      <c r="K104">
        <v>2881</v>
      </c>
      <c r="L104">
        <v>3275</v>
      </c>
      <c r="M104" t="s">
        <v>1757</v>
      </c>
      <c r="N104" t="s">
        <v>404</v>
      </c>
      <c r="O104" t="s">
        <v>1755</v>
      </c>
      <c r="Q104" t="s">
        <v>106</v>
      </c>
    </row>
    <row r="105" spans="1:17" x14ac:dyDescent="0.25">
      <c r="A105" t="s">
        <v>399</v>
      </c>
      <c r="B105" t="s">
        <v>10</v>
      </c>
      <c r="F105" t="s">
        <v>424</v>
      </c>
      <c r="G105" t="s">
        <v>106</v>
      </c>
      <c r="H105">
        <v>0.27389999999999998</v>
      </c>
      <c r="I105">
        <f t="shared" si="4"/>
        <v>202.68599999999998</v>
      </c>
      <c r="J105">
        <v>740</v>
      </c>
      <c r="K105">
        <v>1017</v>
      </c>
      <c r="L105">
        <v>1275</v>
      </c>
      <c r="M105" t="s">
        <v>1758</v>
      </c>
      <c r="N105" t="s">
        <v>404</v>
      </c>
      <c r="O105" t="s">
        <v>1755</v>
      </c>
      <c r="Q105" t="s">
        <v>106</v>
      </c>
    </row>
    <row r="106" spans="1:17" x14ac:dyDescent="0.25">
      <c r="A106" t="s">
        <v>399</v>
      </c>
      <c r="B106" t="s">
        <v>10</v>
      </c>
      <c r="F106" t="s">
        <v>428</v>
      </c>
      <c r="G106" t="s">
        <v>106</v>
      </c>
      <c r="H106">
        <v>0.27389999999999998</v>
      </c>
      <c r="I106">
        <f t="shared" si="4"/>
        <v>280.7475</v>
      </c>
      <c r="J106">
        <v>1025</v>
      </c>
      <c r="K106">
        <v>1485</v>
      </c>
      <c r="L106">
        <v>1875</v>
      </c>
      <c r="M106" t="s">
        <v>1759</v>
      </c>
      <c r="N106" t="s">
        <v>404</v>
      </c>
      <c r="O106" t="s">
        <v>1755</v>
      </c>
      <c r="Q106" t="s">
        <v>106</v>
      </c>
    </row>
    <row r="107" spans="1:17" x14ac:dyDescent="0.25">
      <c r="A107" t="s">
        <v>432</v>
      </c>
      <c r="B107" t="s">
        <v>10</v>
      </c>
      <c r="F107" t="s">
        <v>1355</v>
      </c>
      <c r="G107" t="s">
        <v>12</v>
      </c>
      <c r="H107" t="s">
        <v>1019</v>
      </c>
      <c r="I107" t="s">
        <v>1019</v>
      </c>
      <c r="J107">
        <v>0.44</v>
      </c>
      <c r="K107">
        <v>1.23</v>
      </c>
      <c r="L107">
        <v>1.78</v>
      </c>
      <c r="M107" t="s">
        <v>1248</v>
      </c>
      <c r="N107" t="s">
        <v>1356</v>
      </c>
      <c r="O107" t="s">
        <v>12</v>
      </c>
      <c r="Q107" t="s">
        <v>12</v>
      </c>
    </row>
    <row r="108" spans="1:17" x14ac:dyDescent="0.25">
      <c r="A108" t="s">
        <v>432</v>
      </c>
      <c r="B108" t="s">
        <v>10</v>
      </c>
      <c r="F108" t="s">
        <v>1355</v>
      </c>
      <c r="G108" t="s">
        <v>12</v>
      </c>
      <c r="H108" t="s">
        <v>1021</v>
      </c>
      <c r="I108" t="s">
        <v>1021</v>
      </c>
      <c r="J108">
        <v>0.44</v>
      </c>
      <c r="K108">
        <v>1.23</v>
      </c>
      <c r="L108">
        <v>1.78</v>
      </c>
      <c r="M108" t="s">
        <v>1249</v>
      </c>
      <c r="N108" t="s">
        <v>1356</v>
      </c>
      <c r="O108" t="s">
        <v>12</v>
      </c>
      <c r="Q108" t="s">
        <v>12</v>
      </c>
    </row>
    <row r="109" spans="1:17" x14ac:dyDescent="0.25">
      <c r="A109" t="s">
        <v>432</v>
      </c>
      <c r="B109" t="s">
        <v>10</v>
      </c>
      <c r="F109" t="s">
        <v>1355</v>
      </c>
      <c r="G109" t="s">
        <v>12</v>
      </c>
      <c r="H109" t="s">
        <v>1023</v>
      </c>
      <c r="I109" t="s">
        <v>1023</v>
      </c>
      <c r="J109">
        <v>0.44</v>
      </c>
      <c r="K109">
        <v>1.23</v>
      </c>
      <c r="L109">
        <v>1.78</v>
      </c>
      <c r="M109" t="s">
        <v>1250</v>
      </c>
      <c r="N109" t="s">
        <v>1356</v>
      </c>
      <c r="O109" t="s">
        <v>12</v>
      </c>
      <c r="Q109" t="s">
        <v>12</v>
      </c>
    </row>
    <row r="110" spans="1:17" x14ac:dyDescent="0.25">
      <c r="A110" t="s">
        <v>437</v>
      </c>
      <c r="B110" t="s">
        <v>10</v>
      </c>
      <c r="F110" t="s">
        <v>1358</v>
      </c>
      <c r="G110" t="s">
        <v>12</v>
      </c>
      <c r="H110" t="s">
        <v>1019</v>
      </c>
      <c r="I110" t="s">
        <v>1019</v>
      </c>
      <c r="J110">
        <v>0.42</v>
      </c>
      <c r="K110">
        <v>0.95</v>
      </c>
      <c r="L110">
        <v>1.32</v>
      </c>
      <c r="M110" t="s">
        <v>1248</v>
      </c>
      <c r="N110" t="s">
        <v>1357</v>
      </c>
      <c r="O110" t="s">
        <v>12</v>
      </c>
      <c r="Q110" t="s">
        <v>12</v>
      </c>
    </row>
    <row r="111" spans="1:17" x14ac:dyDescent="0.25">
      <c r="A111" t="s">
        <v>437</v>
      </c>
      <c r="B111" t="s">
        <v>10</v>
      </c>
      <c r="F111" t="s">
        <v>1358</v>
      </c>
      <c r="G111" t="s">
        <v>12</v>
      </c>
      <c r="H111" t="s">
        <v>1021</v>
      </c>
      <c r="I111" t="s">
        <v>1021</v>
      </c>
      <c r="J111">
        <v>0.42</v>
      </c>
      <c r="K111">
        <v>0.95</v>
      </c>
      <c r="L111">
        <v>1.32</v>
      </c>
      <c r="M111" t="s">
        <v>1249</v>
      </c>
      <c r="N111" t="s">
        <v>1357</v>
      </c>
      <c r="O111" t="s">
        <v>12</v>
      </c>
      <c r="Q111" t="s">
        <v>12</v>
      </c>
    </row>
    <row r="112" spans="1:17" x14ac:dyDescent="0.25">
      <c r="A112" t="s">
        <v>437</v>
      </c>
      <c r="B112" t="s">
        <v>10</v>
      </c>
      <c r="F112" t="s">
        <v>1358</v>
      </c>
      <c r="G112" t="s">
        <v>12</v>
      </c>
      <c r="H112" t="s">
        <v>1023</v>
      </c>
      <c r="I112" t="s">
        <v>1023</v>
      </c>
      <c r="J112">
        <v>0.42</v>
      </c>
      <c r="K112">
        <v>0.95</v>
      </c>
      <c r="L112">
        <v>1.32</v>
      </c>
      <c r="M112" t="s">
        <v>1250</v>
      </c>
      <c r="N112" t="s">
        <v>1357</v>
      </c>
      <c r="O112" t="s">
        <v>12</v>
      </c>
      <c r="Q112" t="s">
        <v>12</v>
      </c>
    </row>
    <row r="113" spans="1:18" x14ac:dyDescent="0.25">
      <c r="A113" t="s">
        <v>441</v>
      </c>
      <c r="B113" t="s">
        <v>10</v>
      </c>
      <c r="F113" t="s">
        <v>1359</v>
      </c>
      <c r="G113" t="s">
        <v>106</v>
      </c>
      <c r="H113" t="s">
        <v>1031</v>
      </c>
      <c r="I113">
        <v>183.32903225806453</v>
      </c>
      <c r="J113">
        <v>550</v>
      </c>
      <c r="K113">
        <v>612</v>
      </c>
      <c r="L113">
        <v>705</v>
      </c>
      <c r="M113" t="s">
        <v>1252</v>
      </c>
      <c r="N113" t="s">
        <v>450</v>
      </c>
      <c r="O113" t="s">
        <v>1003</v>
      </c>
      <c r="Q113" t="s">
        <v>106</v>
      </c>
    </row>
    <row r="114" spans="1:18" x14ac:dyDescent="0.25">
      <c r="A114" t="s">
        <v>441</v>
      </c>
      <c r="B114" t="s">
        <v>10</v>
      </c>
      <c r="F114" t="s">
        <v>1360</v>
      </c>
      <c r="G114" t="s">
        <v>106</v>
      </c>
      <c r="H114" t="s">
        <v>1031</v>
      </c>
      <c r="I114">
        <v>206.24516129032259</v>
      </c>
      <c r="J114">
        <v>565</v>
      </c>
      <c r="K114">
        <v>633.5</v>
      </c>
      <c r="L114">
        <v>730</v>
      </c>
      <c r="M114" t="s">
        <v>1252</v>
      </c>
      <c r="N114" t="s">
        <v>450</v>
      </c>
      <c r="O114" t="s">
        <v>1003</v>
      </c>
      <c r="Q114" t="s">
        <v>106</v>
      </c>
    </row>
    <row r="115" spans="1:18" x14ac:dyDescent="0.25">
      <c r="A115" t="s">
        <v>441</v>
      </c>
      <c r="B115" t="s">
        <v>10</v>
      </c>
      <c r="F115" t="s">
        <v>1361</v>
      </c>
      <c r="G115" t="s">
        <v>106</v>
      </c>
      <c r="H115" t="s">
        <v>1031</v>
      </c>
      <c r="I115">
        <v>219.13548387096773</v>
      </c>
      <c r="J115">
        <v>660</v>
      </c>
      <c r="K115">
        <v>728.5</v>
      </c>
      <c r="L115">
        <v>840</v>
      </c>
      <c r="M115" t="s">
        <v>1252</v>
      </c>
      <c r="N115" t="s">
        <v>450</v>
      </c>
      <c r="O115" t="s">
        <v>1003</v>
      </c>
      <c r="Q115" t="s">
        <v>106</v>
      </c>
    </row>
    <row r="116" spans="1:18" x14ac:dyDescent="0.25">
      <c r="A116" t="s">
        <v>472</v>
      </c>
      <c r="B116" t="s">
        <v>10</v>
      </c>
      <c r="F116" t="s">
        <v>1362</v>
      </c>
      <c r="G116" t="s">
        <v>106</v>
      </c>
      <c r="H116" t="s">
        <v>1039</v>
      </c>
      <c r="I116">
        <v>92.16</v>
      </c>
      <c r="J116">
        <v>105</v>
      </c>
      <c r="K116">
        <v>139.5</v>
      </c>
      <c r="L116">
        <v>172</v>
      </c>
      <c r="M116" t="s">
        <v>1254</v>
      </c>
      <c r="O116" t="s">
        <v>1003</v>
      </c>
      <c r="Q116" t="s">
        <v>106</v>
      </c>
    </row>
    <row r="117" spans="1:18" x14ac:dyDescent="0.25">
      <c r="A117" t="s">
        <v>472</v>
      </c>
      <c r="B117" t="s">
        <v>10</v>
      </c>
      <c r="F117" t="s">
        <v>1363</v>
      </c>
      <c r="G117" t="s">
        <v>106</v>
      </c>
      <c r="H117" t="s">
        <v>1039</v>
      </c>
      <c r="I117">
        <v>92.16</v>
      </c>
      <c r="J117">
        <v>148</v>
      </c>
      <c r="K117">
        <v>186.5</v>
      </c>
      <c r="L117">
        <v>226</v>
      </c>
      <c r="M117" t="s">
        <v>1254</v>
      </c>
      <c r="O117" t="s">
        <v>1003</v>
      </c>
      <c r="Q117" t="s">
        <v>106</v>
      </c>
    </row>
    <row r="118" spans="1:18" x14ac:dyDescent="0.25">
      <c r="A118" t="s">
        <v>472</v>
      </c>
      <c r="B118" t="s">
        <v>10</v>
      </c>
      <c r="F118" t="s">
        <v>1364</v>
      </c>
      <c r="G118" t="s">
        <v>106</v>
      </c>
      <c r="H118" t="s">
        <v>1039</v>
      </c>
      <c r="I118">
        <v>92.16</v>
      </c>
      <c r="J118">
        <v>265</v>
      </c>
      <c r="K118">
        <v>299.5</v>
      </c>
      <c r="L118">
        <v>350</v>
      </c>
      <c r="M118" t="s">
        <v>1254</v>
      </c>
      <c r="O118" t="s">
        <v>1003</v>
      </c>
      <c r="Q118" t="s">
        <v>106</v>
      </c>
    </row>
    <row r="119" spans="1:18" x14ac:dyDescent="0.25">
      <c r="A119" t="s">
        <v>485</v>
      </c>
      <c r="B119" t="s">
        <v>10</v>
      </c>
      <c r="F119" t="s">
        <v>486</v>
      </c>
      <c r="G119" t="s">
        <v>12</v>
      </c>
      <c r="H119">
        <v>0.32200000000000001</v>
      </c>
      <c r="I119">
        <v>0.24149999999999999</v>
      </c>
      <c r="J119">
        <v>0.38</v>
      </c>
      <c r="K119">
        <v>0.69</v>
      </c>
      <c r="L119">
        <v>0.92</v>
      </c>
      <c r="M119" t="s">
        <v>1255</v>
      </c>
      <c r="N119" t="s">
        <v>490</v>
      </c>
      <c r="O119" t="s">
        <v>12</v>
      </c>
      <c r="P119" t="s">
        <v>1365</v>
      </c>
      <c r="Q119" t="s">
        <v>12</v>
      </c>
      <c r="R119" t="s">
        <v>1368</v>
      </c>
    </row>
    <row r="120" spans="1:18" x14ac:dyDescent="0.25">
      <c r="A120" t="s">
        <v>485</v>
      </c>
      <c r="B120" t="s">
        <v>10</v>
      </c>
      <c r="F120" t="s">
        <v>491</v>
      </c>
      <c r="G120" t="s">
        <v>12</v>
      </c>
      <c r="H120">
        <v>0.32200000000000001</v>
      </c>
      <c r="I120">
        <v>0.32200000000000001</v>
      </c>
      <c r="J120">
        <v>0.35</v>
      </c>
      <c r="K120">
        <v>0.66</v>
      </c>
      <c r="L120">
        <v>0.89</v>
      </c>
      <c r="M120" t="s">
        <v>1255</v>
      </c>
      <c r="N120" t="s">
        <v>490</v>
      </c>
      <c r="O120" t="s">
        <v>12</v>
      </c>
      <c r="P120" t="s">
        <v>1365</v>
      </c>
      <c r="Q120" t="s">
        <v>12</v>
      </c>
      <c r="R120" t="s">
        <v>1368</v>
      </c>
    </row>
    <row r="121" spans="1:18" x14ac:dyDescent="0.25">
      <c r="A121" t="s">
        <v>485</v>
      </c>
      <c r="B121" t="s">
        <v>10</v>
      </c>
      <c r="F121" t="s">
        <v>492</v>
      </c>
      <c r="G121" t="s">
        <v>12</v>
      </c>
      <c r="H121">
        <v>0.32200000000000001</v>
      </c>
      <c r="I121">
        <v>0.40250000000000002</v>
      </c>
      <c r="J121">
        <v>0.3</v>
      </c>
      <c r="K121">
        <v>0.61</v>
      </c>
      <c r="L121">
        <v>0.83</v>
      </c>
      <c r="M121" t="s">
        <v>1255</v>
      </c>
      <c r="N121" t="s">
        <v>490</v>
      </c>
      <c r="O121" t="s">
        <v>12</v>
      </c>
      <c r="P121" t="s">
        <v>1365</v>
      </c>
      <c r="Q121" t="s">
        <v>12</v>
      </c>
      <c r="R121" t="s">
        <v>1368</v>
      </c>
    </row>
    <row r="122" spans="1:18" x14ac:dyDescent="0.25">
      <c r="A122" t="s">
        <v>485</v>
      </c>
      <c r="B122" t="s">
        <v>10</v>
      </c>
      <c r="F122" t="s">
        <v>496</v>
      </c>
      <c r="G122" t="s">
        <v>12</v>
      </c>
      <c r="H122">
        <v>0.436</v>
      </c>
      <c r="I122">
        <v>0.3488</v>
      </c>
      <c r="J122">
        <v>0.45</v>
      </c>
      <c r="K122">
        <v>0.76</v>
      </c>
      <c r="L122">
        <v>1</v>
      </c>
      <c r="M122" t="s">
        <v>1256</v>
      </c>
      <c r="N122" t="s">
        <v>490</v>
      </c>
      <c r="O122" t="s">
        <v>12</v>
      </c>
      <c r="P122" t="s">
        <v>1365</v>
      </c>
      <c r="Q122" t="s">
        <v>12</v>
      </c>
      <c r="R122" t="s">
        <v>1368</v>
      </c>
    </row>
    <row r="123" spans="1:18" x14ac:dyDescent="0.25">
      <c r="A123" t="s">
        <v>485</v>
      </c>
      <c r="B123" t="s">
        <v>10</v>
      </c>
      <c r="F123" t="s">
        <v>500</v>
      </c>
      <c r="G123" t="s">
        <v>12</v>
      </c>
      <c r="H123">
        <v>0.436</v>
      </c>
      <c r="I123">
        <v>0.436</v>
      </c>
      <c r="J123">
        <v>0.41</v>
      </c>
      <c r="K123">
        <v>0.72</v>
      </c>
      <c r="L123">
        <v>0.95</v>
      </c>
      <c r="M123" t="s">
        <v>1256</v>
      </c>
      <c r="N123" t="s">
        <v>490</v>
      </c>
      <c r="O123" t="s">
        <v>12</v>
      </c>
      <c r="P123" t="s">
        <v>1365</v>
      </c>
      <c r="Q123" t="s">
        <v>12</v>
      </c>
      <c r="R123" t="s">
        <v>1368</v>
      </c>
    </row>
    <row r="124" spans="1:18" x14ac:dyDescent="0.25">
      <c r="A124" t="s">
        <v>485</v>
      </c>
      <c r="B124" t="s">
        <v>10</v>
      </c>
      <c r="F124" t="s">
        <v>504</v>
      </c>
      <c r="G124" t="s">
        <v>12</v>
      </c>
      <c r="H124">
        <v>0.436</v>
      </c>
      <c r="I124">
        <v>0.3488</v>
      </c>
      <c r="J124">
        <v>0.48</v>
      </c>
      <c r="K124">
        <v>0.79</v>
      </c>
      <c r="L124">
        <v>1.03</v>
      </c>
      <c r="M124" t="s">
        <v>1256</v>
      </c>
      <c r="N124" t="s">
        <v>490</v>
      </c>
      <c r="O124" t="s">
        <v>12</v>
      </c>
      <c r="P124" t="s">
        <v>1365</v>
      </c>
      <c r="Q124" t="s">
        <v>12</v>
      </c>
      <c r="R124" t="s">
        <v>1368</v>
      </c>
    </row>
    <row r="125" spans="1:18" x14ac:dyDescent="0.25">
      <c r="A125" t="s">
        <v>485</v>
      </c>
      <c r="B125" t="s">
        <v>10</v>
      </c>
      <c r="F125" t="s">
        <v>507</v>
      </c>
      <c r="G125" t="s">
        <v>12</v>
      </c>
      <c r="H125">
        <v>0.436</v>
      </c>
      <c r="I125">
        <v>0.436</v>
      </c>
      <c r="J125">
        <v>0.66</v>
      </c>
      <c r="K125">
        <v>0.97</v>
      </c>
      <c r="L125">
        <v>1.23</v>
      </c>
      <c r="M125" t="s">
        <v>1256</v>
      </c>
      <c r="N125" t="s">
        <v>490</v>
      </c>
      <c r="O125" t="s">
        <v>12</v>
      </c>
      <c r="P125" t="s">
        <v>1365</v>
      </c>
      <c r="Q125" t="s">
        <v>12</v>
      </c>
      <c r="R125" t="s">
        <v>1368</v>
      </c>
    </row>
    <row r="126" spans="1:18" x14ac:dyDescent="0.25">
      <c r="A126" t="s">
        <v>509</v>
      </c>
      <c r="B126" t="s">
        <v>10</v>
      </c>
      <c r="F126" t="s">
        <v>1370</v>
      </c>
      <c r="G126" t="s">
        <v>12</v>
      </c>
      <c r="H126" t="s">
        <v>1047</v>
      </c>
      <c r="I126" t="s">
        <v>1047</v>
      </c>
      <c r="J126">
        <v>0.25</v>
      </c>
      <c r="K126">
        <v>0.52</v>
      </c>
      <c r="L126">
        <v>0.65</v>
      </c>
      <c r="M126" t="s">
        <v>1257</v>
      </c>
      <c r="N126" t="s">
        <v>16</v>
      </c>
      <c r="Q126" t="s">
        <v>12</v>
      </c>
    </row>
    <row r="127" spans="1:18" x14ac:dyDescent="0.25">
      <c r="A127" t="s">
        <v>509</v>
      </c>
      <c r="B127" t="s">
        <v>10</v>
      </c>
      <c r="F127" t="s">
        <v>1371</v>
      </c>
      <c r="G127" t="s">
        <v>12</v>
      </c>
      <c r="H127" t="s">
        <v>1048</v>
      </c>
      <c r="I127" t="s">
        <v>1048</v>
      </c>
      <c r="J127">
        <v>0.37</v>
      </c>
      <c r="K127">
        <v>0.72</v>
      </c>
      <c r="L127">
        <v>0.9</v>
      </c>
      <c r="M127" t="s">
        <v>1258</v>
      </c>
      <c r="N127" t="s">
        <v>16</v>
      </c>
      <c r="Q127" t="s">
        <v>12</v>
      </c>
    </row>
    <row r="128" spans="1:18" x14ac:dyDescent="0.25">
      <c r="A128" t="s">
        <v>509</v>
      </c>
      <c r="B128" t="s">
        <v>10</v>
      </c>
      <c r="F128" t="s">
        <v>1372</v>
      </c>
      <c r="G128" t="s">
        <v>12</v>
      </c>
      <c r="H128" t="s">
        <v>1050</v>
      </c>
      <c r="I128" t="s">
        <v>1050</v>
      </c>
      <c r="J128">
        <v>0.71</v>
      </c>
      <c r="K128">
        <v>0.94</v>
      </c>
      <c r="L128">
        <v>1.1499999999999999</v>
      </c>
      <c r="M128" t="s">
        <v>1259</v>
      </c>
      <c r="N128" t="s">
        <v>519</v>
      </c>
      <c r="Q128" t="s">
        <v>12</v>
      </c>
    </row>
    <row r="129" spans="1:17" x14ac:dyDescent="0.25">
      <c r="A129" t="s">
        <v>509</v>
      </c>
      <c r="B129" t="s">
        <v>10</v>
      </c>
      <c r="F129" t="s">
        <v>1373</v>
      </c>
      <c r="G129" t="s">
        <v>12</v>
      </c>
      <c r="H129" t="s">
        <v>1052</v>
      </c>
      <c r="I129" t="s">
        <v>1052</v>
      </c>
      <c r="J129">
        <v>0.89</v>
      </c>
      <c r="K129">
        <v>1.08</v>
      </c>
      <c r="L129">
        <v>1.29</v>
      </c>
      <c r="M129" t="s">
        <v>1260</v>
      </c>
      <c r="N129" t="s">
        <v>519</v>
      </c>
      <c r="Q129" t="s">
        <v>12</v>
      </c>
    </row>
    <row r="130" spans="1:17" x14ac:dyDescent="0.25">
      <c r="A130" t="s">
        <v>509</v>
      </c>
      <c r="B130" t="s">
        <v>10</v>
      </c>
      <c r="F130" t="s">
        <v>526</v>
      </c>
      <c r="G130" t="s">
        <v>12</v>
      </c>
      <c r="H130" t="s">
        <v>1054</v>
      </c>
      <c r="I130" t="s">
        <v>1054</v>
      </c>
      <c r="J130">
        <v>0.56999999999999995</v>
      </c>
      <c r="K130">
        <v>0.96</v>
      </c>
      <c r="L130">
        <v>1.26</v>
      </c>
      <c r="M130" t="s">
        <v>1261</v>
      </c>
      <c r="N130" t="s">
        <v>74</v>
      </c>
      <c r="Q130" t="s">
        <v>12</v>
      </c>
    </row>
    <row r="131" spans="1:17" x14ac:dyDescent="0.25">
      <c r="A131" t="s">
        <v>509</v>
      </c>
      <c r="B131" t="s">
        <v>10</v>
      </c>
      <c r="F131" t="s">
        <v>1369</v>
      </c>
      <c r="G131" t="s">
        <v>12</v>
      </c>
      <c r="H131" t="s">
        <v>1056</v>
      </c>
      <c r="I131" t="s">
        <v>1056</v>
      </c>
      <c r="J131">
        <f>J130+1.68</f>
        <v>2.25</v>
      </c>
      <c r="K131">
        <f>K130+1.99</f>
        <v>2.95</v>
      </c>
      <c r="L131">
        <f>L130+2.35</f>
        <v>3.6100000000000003</v>
      </c>
      <c r="M131" t="s">
        <v>1262</v>
      </c>
      <c r="N131" t="s">
        <v>74</v>
      </c>
      <c r="Q131" t="s">
        <v>12</v>
      </c>
    </row>
    <row r="132" spans="1:17" x14ac:dyDescent="0.25">
      <c r="A132" t="s">
        <v>509</v>
      </c>
      <c r="B132" t="s">
        <v>10</v>
      </c>
      <c r="F132" t="s">
        <v>1374</v>
      </c>
      <c r="G132" t="s">
        <v>12</v>
      </c>
      <c r="H132" t="s">
        <v>1057</v>
      </c>
      <c r="I132" t="s">
        <v>1057</v>
      </c>
      <c r="J132">
        <v>0.35</v>
      </c>
      <c r="K132">
        <v>0.79</v>
      </c>
      <c r="L132">
        <v>1</v>
      </c>
      <c r="M132" t="s">
        <v>1263</v>
      </c>
      <c r="N132" t="s">
        <v>16</v>
      </c>
      <c r="Q132" t="s">
        <v>12</v>
      </c>
    </row>
    <row r="133" spans="1:17" x14ac:dyDescent="0.25">
      <c r="A133" t="s">
        <v>509</v>
      </c>
      <c r="B133" t="s">
        <v>10</v>
      </c>
      <c r="F133" t="s">
        <v>1375</v>
      </c>
      <c r="G133" t="s">
        <v>12</v>
      </c>
      <c r="H133" t="s">
        <v>1058</v>
      </c>
      <c r="I133" t="s">
        <v>1058</v>
      </c>
      <c r="J133">
        <v>0.44</v>
      </c>
      <c r="K133">
        <v>1.05</v>
      </c>
      <c r="L133">
        <v>1.32</v>
      </c>
      <c r="M133" t="s">
        <v>1264</v>
      </c>
      <c r="N133" t="s">
        <v>16</v>
      </c>
      <c r="Q133" t="s">
        <v>12</v>
      </c>
    </row>
    <row r="134" spans="1:17" x14ac:dyDescent="0.25">
      <c r="A134" t="s">
        <v>535</v>
      </c>
      <c r="B134" t="s">
        <v>10</v>
      </c>
      <c r="F134" t="s">
        <v>536</v>
      </c>
      <c r="G134" t="s">
        <v>77</v>
      </c>
      <c r="H134">
        <v>690</v>
      </c>
      <c r="I134">
        <f>H134*0.00073741788</f>
        <v>0.50881833720000003</v>
      </c>
      <c r="J134">
        <v>2</v>
      </c>
      <c r="K134">
        <v>3.24</v>
      </c>
      <c r="L134">
        <v>4.21</v>
      </c>
      <c r="M134" t="s">
        <v>1229</v>
      </c>
      <c r="N134" t="s">
        <v>539</v>
      </c>
      <c r="O134" t="s">
        <v>944</v>
      </c>
      <c r="P134" t="s">
        <v>1376</v>
      </c>
      <c r="Q134" t="s">
        <v>77</v>
      </c>
    </row>
    <row r="135" spans="1:17" x14ac:dyDescent="0.25">
      <c r="A135" t="s">
        <v>535</v>
      </c>
      <c r="B135" t="s">
        <v>10</v>
      </c>
      <c r="F135" t="s">
        <v>544</v>
      </c>
      <c r="G135" t="s">
        <v>77</v>
      </c>
      <c r="H135" s="2">
        <v>0.315</v>
      </c>
      <c r="I135" s="2">
        <f>H135*5/3*0.5</f>
        <v>0.26250000000000001</v>
      </c>
      <c r="J135">
        <v>1.21</v>
      </c>
      <c r="K135">
        <v>2.4500000000000002</v>
      </c>
      <c r="L135">
        <v>3.34</v>
      </c>
      <c r="M135" t="s">
        <v>1228</v>
      </c>
      <c r="N135" t="s">
        <v>539</v>
      </c>
      <c r="O135" t="s">
        <v>12</v>
      </c>
      <c r="P135" t="s">
        <v>1377</v>
      </c>
      <c r="Q135" t="s">
        <v>77</v>
      </c>
    </row>
    <row r="136" spans="1:17" x14ac:dyDescent="0.25">
      <c r="A136" t="s">
        <v>552</v>
      </c>
      <c r="B136" t="s">
        <v>10</v>
      </c>
      <c r="F136" t="s">
        <v>1378</v>
      </c>
      <c r="G136" t="s">
        <v>106</v>
      </c>
      <c r="H136">
        <v>291</v>
      </c>
      <c r="I136">
        <v>291</v>
      </c>
      <c r="J136">
        <v>745</v>
      </c>
      <c r="K136">
        <v>804.5</v>
      </c>
      <c r="L136">
        <v>915</v>
      </c>
      <c r="M136" t="s">
        <v>1265</v>
      </c>
      <c r="N136" t="s">
        <v>557</v>
      </c>
      <c r="O136" t="s">
        <v>106</v>
      </c>
      <c r="Q136" t="s">
        <v>106</v>
      </c>
    </row>
    <row r="137" spans="1:17" x14ac:dyDescent="0.25">
      <c r="A137" t="s">
        <v>552</v>
      </c>
      <c r="B137" t="s">
        <v>10</v>
      </c>
      <c r="F137" t="s">
        <v>1378</v>
      </c>
      <c r="G137" t="s">
        <v>106</v>
      </c>
      <c r="H137">
        <v>291</v>
      </c>
      <c r="I137">
        <v>291</v>
      </c>
      <c r="J137">
        <v>750</v>
      </c>
      <c r="K137">
        <v>869</v>
      </c>
      <c r="L137">
        <v>1025</v>
      </c>
      <c r="M137" t="s">
        <v>1265</v>
      </c>
      <c r="N137" t="s">
        <v>557</v>
      </c>
      <c r="O137" t="s">
        <v>106</v>
      </c>
      <c r="Q137" t="s">
        <v>106</v>
      </c>
    </row>
    <row r="138" spans="1:17" x14ac:dyDescent="0.25">
      <c r="A138" t="s">
        <v>552</v>
      </c>
      <c r="B138" t="s">
        <v>10</v>
      </c>
      <c r="F138" t="s">
        <v>566</v>
      </c>
      <c r="G138" t="s">
        <v>106</v>
      </c>
      <c r="H138">
        <v>291</v>
      </c>
      <c r="I138">
        <v>291</v>
      </c>
      <c r="J138">
        <v>1700</v>
      </c>
      <c r="K138">
        <v>1768</v>
      </c>
      <c r="L138">
        <v>1975</v>
      </c>
      <c r="M138" t="s">
        <v>1265</v>
      </c>
      <c r="N138" t="s">
        <v>557</v>
      </c>
      <c r="O138" t="s">
        <v>106</v>
      </c>
      <c r="Q138" t="s">
        <v>106</v>
      </c>
    </row>
    <row r="139" spans="1:17" x14ac:dyDescent="0.25">
      <c r="A139" t="s">
        <v>552</v>
      </c>
      <c r="B139" t="s">
        <v>10</v>
      </c>
      <c r="F139" t="s">
        <v>570</v>
      </c>
      <c r="G139" t="s">
        <v>106</v>
      </c>
      <c r="H139">
        <v>291</v>
      </c>
      <c r="I139">
        <v>291</v>
      </c>
      <c r="J139">
        <v>2225</v>
      </c>
      <c r="K139">
        <v>2384</v>
      </c>
      <c r="L139">
        <v>2700</v>
      </c>
      <c r="M139" t="s">
        <v>1265</v>
      </c>
      <c r="N139" t="s">
        <v>557</v>
      </c>
      <c r="O139" t="s">
        <v>106</v>
      </c>
      <c r="Q139" t="s">
        <v>106</v>
      </c>
    </row>
    <row r="140" spans="1:17" x14ac:dyDescent="0.25">
      <c r="A140" t="s">
        <v>552</v>
      </c>
      <c r="B140" t="s">
        <v>10</v>
      </c>
      <c r="F140" t="s">
        <v>1380</v>
      </c>
      <c r="G140" t="s">
        <v>106</v>
      </c>
      <c r="H140">
        <v>291</v>
      </c>
      <c r="I140">
        <v>291</v>
      </c>
      <c r="J140">
        <v>680</v>
      </c>
      <c r="K140">
        <v>990</v>
      </c>
      <c r="L140">
        <v>1250</v>
      </c>
      <c r="M140" t="s">
        <v>1265</v>
      </c>
      <c r="N140" t="s">
        <v>557</v>
      </c>
      <c r="O140" t="s">
        <v>106</v>
      </c>
      <c r="Q140" t="s">
        <v>106</v>
      </c>
    </row>
    <row r="141" spans="1:17" x14ac:dyDescent="0.25">
      <c r="A141" t="s">
        <v>552</v>
      </c>
      <c r="B141" t="s">
        <v>10</v>
      </c>
      <c r="F141" t="s">
        <v>1379</v>
      </c>
      <c r="G141" t="s">
        <v>106</v>
      </c>
      <c r="H141">
        <v>291</v>
      </c>
      <c r="I141">
        <v>291</v>
      </c>
      <c r="J141">
        <v>2000</v>
      </c>
      <c r="K141">
        <v>2155</v>
      </c>
      <c r="L141">
        <v>2450</v>
      </c>
      <c r="M141" t="s">
        <v>1265</v>
      </c>
      <c r="N141" t="s">
        <v>557</v>
      </c>
      <c r="O141" t="s">
        <v>106</v>
      </c>
      <c r="Q141" t="s">
        <v>106</v>
      </c>
    </row>
    <row r="142" spans="1:17" x14ac:dyDescent="0.25">
      <c r="A142" t="s">
        <v>552</v>
      </c>
      <c r="B142" t="s">
        <v>10</v>
      </c>
      <c r="F142" t="s">
        <v>1381</v>
      </c>
      <c r="G142" t="s">
        <v>106</v>
      </c>
      <c r="H142">
        <v>291</v>
      </c>
      <c r="I142">
        <v>291</v>
      </c>
      <c r="J142">
        <v>1750</v>
      </c>
      <c r="K142">
        <v>1905</v>
      </c>
      <c r="L142">
        <v>2175</v>
      </c>
      <c r="M142" t="s">
        <v>1265</v>
      </c>
      <c r="N142" t="s">
        <v>557</v>
      </c>
      <c r="O142" t="s">
        <v>106</v>
      </c>
      <c r="Q142" t="s">
        <v>106</v>
      </c>
    </row>
    <row r="143" spans="1:17" x14ac:dyDescent="0.25">
      <c r="A143" t="s">
        <v>552</v>
      </c>
      <c r="B143" t="s">
        <v>10</v>
      </c>
      <c r="F143" t="s">
        <v>1382</v>
      </c>
      <c r="G143" t="s">
        <v>106</v>
      </c>
      <c r="H143">
        <v>291</v>
      </c>
      <c r="I143">
        <v>291</v>
      </c>
      <c r="J143">
        <v>3400</v>
      </c>
      <c r="K143">
        <v>3555</v>
      </c>
      <c r="L143">
        <v>4000</v>
      </c>
      <c r="M143" t="s">
        <v>1265</v>
      </c>
      <c r="N143" t="s">
        <v>557</v>
      </c>
      <c r="O143" t="s">
        <v>106</v>
      </c>
      <c r="Q143" t="s">
        <v>106</v>
      </c>
    </row>
    <row r="144" spans="1:17" x14ac:dyDescent="0.25">
      <c r="A144" t="s">
        <v>573</v>
      </c>
      <c r="B144" t="s">
        <v>10</v>
      </c>
      <c r="F144" t="s">
        <v>574</v>
      </c>
      <c r="G144" t="s">
        <v>106</v>
      </c>
      <c r="H144">
        <v>146</v>
      </c>
      <c r="I144">
        <v>146</v>
      </c>
      <c r="J144">
        <v>680</v>
      </c>
      <c r="K144">
        <v>789</v>
      </c>
      <c r="L144">
        <v>920</v>
      </c>
      <c r="M144" t="s">
        <v>1266</v>
      </c>
      <c r="N144" t="s">
        <v>575</v>
      </c>
      <c r="O144" t="s">
        <v>106</v>
      </c>
      <c r="Q144" t="s">
        <v>106</v>
      </c>
    </row>
    <row r="145" spans="1:17" x14ac:dyDescent="0.25">
      <c r="A145" t="s">
        <v>573</v>
      </c>
      <c r="B145" t="s">
        <v>10</v>
      </c>
      <c r="F145" t="s">
        <v>576</v>
      </c>
      <c r="G145" t="s">
        <v>106</v>
      </c>
      <c r="H145">
        <v>146</v>
      </c>
      <c r="I145">
        <v>146</v>
      </c>
      <c r="J145">
        <v>790</v>
      </c>
      <c r="K145">
        <v>1007</v>
      </c>
      <c r="L145">
        <v>1225</v>
      </c>
      <c r="M145" t="s">
        <v>1266</v>
      </c>
      <c r="N145" t="s">
        <v>575</v>
      </c>
      <c r="O145" t="s">
        <v>106</v>
      </c>
      <c r="Q145" t="s">
        <v>106</v>
      </c>
    </row>
    <row r="146" spans="1:17" x14ac:dyDescent="0.25">
      <c r="A146" t="s">
        <v>573</v>
      </c>
      <c r="B146" t="s">
        <v>10</v>
      </c>
      <c r="F146" t="s">
        <v>578</v>
      </c>
      <c r="G146" t="s">
        <v>106</v>
      </c>
      <c r="H146">
        <v>146</v>
      </c>
      <c r="I146">
        <v>146</v>
      </c>
      <c r="J146">
        <v>905</v>
      </c>
      <c r="K146">
        <v>1014</v>
      </c>
      <c r="L146">
        <v>1175</v>
      </c>
      <c r="M146" t="s">
        <v>1266</v>
      </c>
      <c r="N146" t="s">
        <v>575</v>
      </c>
      <c r="O146" t="s">
        <v>106</v>
      </c>
      <c r="Q146" t="s">
        <v>106</v>
      </c>
    </row>
    <row r="147" spans="1:17" x14ac:dyDescent="0.25">
      <c r="A147" t="s">
        <v>580</v>
      </c>
      <c r="B147" t="s">
        <v>10</v>
      </c>
      <c r="F147" t="s">
        <v>581</v>
      </c>
      <c r="G147" t="s">
        <v>106</v>
      </c>
      <c r="H147">
        <v>58.9</v>
      </c>
      <c r="I147">
        <v>58.9</v>
      </c>
      <c r="J147">
        <v>160</v>
      </c>
      <c r="K147">
        <v>249</v>
      </c>
      <c r="L147">
        <v>320</v>
      </c>
      <c r="M147" t="s">
        <v>1267</v>
      </c>
      <c r="N147" t="s">
        <v>585</v>
      </c>
      <c r="O147" t="s">
        <v>106</v>
      </c>
      <c r="Q147" t="s">
        <v>106</v>
      </c>
    </row>
    <row r="148" spans="1:17" x14ac:dyDescent="0.25">
      <c r="A148" t="s">
        <v>580</v>
      </c>
      <c r="B148" t="s">
        <v>10</v>
      </c>
      <c r="F148" t="s">
        <v>586</v>
      </c>
      <c r="G148" t="s">
        <v>106</v>
      </c>
      <c r="H148">
        <v>58.9</v>
      </c>
      <c r="I148">
        <v>58.9</v>
      </c>
      <c r="J148">
        <v>450</v>
      </c>
      <c r="K148">
        <v>628</v>
      </c>
      <c r="L148">
        <v>785</v>
      </c>
      <c r="M148" t="s">
        <v>1267</v>
      </c>
      <c r="N148" t="s">
        <v>585</v>
      </c>
      <c r="Q148" t="s">
        <v>106</v>
      </c>
    </row>
    <row r="149" spans="1:17" x14ac:dyDescent="0.25">
      <c r="A149" t="s">
        <v>589</v>
      </c>
      <c r="B149" t="s">
        <v>10</v>
      </c>
      <c r="F149" t="s">
        <v>1385</v>
      </c>
      <c r="G149" t="s">
        <v>106</v>
      </c>
      <c r="H149">
        <v>382</v>
      </c>
      <c r="I149">
        <v>382</v>
      </c>
      <c r="J149">
        <v>1100</v>
      </c>
      <c r="K149">
        <v>1215</v>
      </c>
      <c r="L149">
        <v>1400</v>
      </c>
      <c r="M149" t="s">
        <v>1268</v>
      </c>
      <c r="N149" t="s">
        <v>593</v>
      </c>
      <c r="O149" t="s">
        <v>106</v>
      </c>
      <c r="Q149" t="s">
        <v>106</v>
      </c>
    </row>
    <row r="150" spans="1:17" x14ac:dyDescent="0.25">
      <c r="A150" t="s">
        <v>589</v>
      </c>
      <c r="B150" t="s">
        <v>10</v>
      </c>
      <c r="F150" t="s">
        <v>1386</v>
      </c>
      <c r="G150" t="s">
        <v>106</v>
      </c>
      <c r="H150">
        <v>382</v>
      </c>
      <c r="I150">
        <v>382</v>
      </c>
      <c r="J150">
        <v>1450</v>
      </c>
      <c r="K150">
        <v>1795</v>
      </c>
      <c r="L150">
        <v>2175</v>
      </c>
      <c r="M150" t="s">
        <v>1268</v>
      </c>
      <c r="N150" t="s">
        <v>593</v>
      </c>
      <c r="O150" t="s">
        <v>106</v>
      </c>
      <c r="Q150" t="s">
        <v>106</v>
      </c>
    </row>
    <row r="151" spans="1:17" x14ac:dyDescent="0.25">
      <c r="A151" t="s">
        <v>589</v>
      </c>
      <c r="B151" t="s">
        <v>10</v>
      </c>
      <c r="F151" t="s">
        <v>1387</v>
      </c>
      <c r="G151" t="s">
        <v>106</v>
      </c>
      <c r="H151">
        <v>382</v>
      </c>
      <c r="I151">
        <v>382</v>
      </c>
      <c r="J151">
        <v>700</v>
      </c>
      <c r="K151">
        <v>815</v>
      </c>
      <c r="L151">
        <v>960</v>
      </c>
      <c r="M151" t="s">
        <v>1268</v>
      </c>
      <c r="N151" t="s">
        <v>593</v>
      </c>
      <c r="O151" t="s">
        <v>106</v>
      </c>
      <c r="Q151" t="s">
        <v>106</v>
      </c>
    </row>
    <row r="152" spans="1:17" x14ac:dyDescent="0.25">
      <c r="A152" t="s">
        <v>589</v>
      </c>
      <c r="B152" t="s">
        <v>10</v>
      </c>
      <c r="F152" t="s">
        <v>1388</v>
      </c>
      <c r="G152" t="s">
        <v>106</v>
      </c>
      <c r="H152">
        <v>382</v>
      </c>
      <c r="I152">
        <v>382</v>
      </c>
      <c r="J152">
        <v>1025</v>
      </c>
      <c r="K152">
        <v>1140</v>
      </c>
      <c r="L152">
        <v>1325</v>
      </c>
      <c r="M152" t="s">
        <v>1268</v>
      </c>
      <c r="N152" t="s">
        <v>593</v>
      </c>
      <c r="O152" t="s">
        <v>106</v>
      </c>
      <c r="Q152" t="s">
        <v>106</v>
      </c>
    </row>
    <row r="153" spans="1:17" x14ac:dyDescent="0.25">
      <c r="A153" t="s">
        <v>597</v>
      </c>
      <c r="B153" t="s">
        <v>10</v>
      </c>
      <c r="F153" t="s">
        <v>1389</v>
      </c>
      <c r="G153" t="s">
        <v>106</v>
      </c>
      <c r="H153">
        <v>210</v>
      </c>
      <c r="I153">
        <v>210</v>
      </c>
      <c r="J153">
        <f>990+64</f>
        <v>1054</v>
      </c>
      <c r="K153">
        <f>1173+95</f>
        <v>1268</v>
      </c>
      <c r="L153">
        <f>1375+121</f>
        <v>1496</v>
      </c>
      <c r="M153" t="s">
        <v>1269</v>
      </c>
      <c r="N153" t="s">
        <v>600</v>
      </c>
      <c r="O153" t="s">
        <v>106</v>
      </c>
      <c r="Q153" t="s">
        <v>106</v>
      </c>
    </row>
    <row r="154" spans="1:17" x14ac:dyDescent="0.25">
      <c r="A154" t="s">
        <v>597</v>
      </c>
      <c r="B154" t="s">
        <v>10</v>
      </c>
      <c r="F154" t="s">
        <v>1390</v>
      </c>
      <c r="G154" t="s">
        <v>106</v>
      </c>
      <c r="H154">
        <v>210</v>
      </c>
      <c r="I154">
        <v>210</v>
      </c>
      <c r="J154">
        <f>1350+64</f>
        <v>1414</v>
      </c>
      <c r="K154">
        <f>1624+95</f>
        <v>1719</v>
      </c>
      <c r="L154">
        <f>1925+121</f>
        <v>2046</v>
      </c>
      <c r="M154" t="s">
        <v>1269</v>
      </c>
      <c r="N154" t="s">
        <v>600</v>
      </c>
      <c r="O154" t="s">
        <v>106</v>
      </c>
      <c r="Q154" t="s">
        <v>106</v>
      </c>
    </row>
    <row r="155" spans="1:17" x14ac:dyDescent="0.25">
      <c r="A155" t="s">
        <v>609</v>
      </c>
      <c r="B155" t="s">
        <v>10</v>
      </c>
      <c r="F155" t="s">
        <v>1383</v>
      </c>
      <c r="G155" t="s">
        <v>106</v>
      </c>
      <c r="H155">
        <v>180</v>
      </c>
      <c r="I155">
        <v>180</v>
      </c>
      <c r="J155">
        <v>750</v>
      </c>
      <c r="K155">
        <v>839</v>
      </c>
      <c r="L155">
        <v>975</v>
      </c>
      <c r="M155" t="s">
        <v>1270</v>
      </c>
      <c r="N155" t="s">
        <v>585</v>
      </c>
      <c r="O155" t="s">
        <v>106</v>
      </c>
      <c r="Q155" t="s">
        <v>106</v>
      </c>
    </row>
    <row r="156" spans="1:17" x14ac:dyDescent="0.25">
      <c r="A156" t="s">
        <v>609</v>
      </c>
      <c r="B156" t="s">
        <v>10</v>
      </c>
      <c r="F156" t="s">
        <v>1384</v>
      </c>
      <c r="G156" t="s">
        <v>106</v>
      </c>
      <c r="H156">
        <v>180</v>
      </c>
      <c r="I156">
        <v>180</v>
      </c>
      <c r="J156">
        <v>2600</v>
      </c>
      <c r="K156">
        <v>2778</v>
      </c>
      <c r="L156">
        <v>3150</v>
      </c>
      <c r="M156" t="s">
        <v>1270</v>
      </c>
      <c r="N156" t="s">
        <v>585</v>
      </c>
      <c r="O156" t="s">
        <v>106</v>
      </c>
      <c r="Q156" t="s">
        <v>106</v>
      </c>
    </row>
    <row r="157" spans="1:17" x14ac:dyDescent="0.25">
      <c r="A157" t="s">
        <v>619</v>
      </c>
      <c r="B157" t="s">
        <v>10</v>
      </c>
      <c r="F157" t="s">
        <v>1391</v>
      </c>
      <c r="G157" t="s">
        <v>106</v>
      </c>
      <c r="H157">
        <v>63.8</v>
      </c>
      <c r="I157">
        <v>63.8</v>
      </c>
      <c r="J157">
        <v>175</v>
      </c>
      <c r="K157">
        <v>254.5</v>
      </c>
      <c r="L157">
        <v>320</v>
      </c>
      <c r="M157" t="s">
        <v>1271</v>
      </c>
      <c r="O157" t="s">
        <v>106</v>
      </c>
    </row>
    <row r="158" spans="1:17" x14ac:dyDescent="0.25">
      <c r="A158" t="s">
        <v>619</v>
      </c>
      <c r="B158" t="s">
        <v>10</v>
      </c>
      <c r="F158" t="s">
        <v>1392</v>
      </c>
      <c r="G158" t="s">
        <v>106</v>
      </c>
      <c r="H158">
        <v>63.8</v>
      </c>
      <c r="I158">
        <v>63.8</v>
      </c>
      <c r="J158">
        <v>204</v>
      </c>
      <c r="K158">
        <v>337</v>
      </c>
      <c r="L158">
        <v>440</v>
      </c>
      <c r="M158" t="s">
        <v>1271</v>
      </c>
      <c r="O158" t="s">
        <v>106</v>
      </c>
    </row>
    <row r="159" spans="1:17" x14ac:dyDescent="0.25">
      <c r="A159" t="s">
        <v>627</v>
      </c>
      <c r="B159" t="s">
        <v>10</v>
      </c>
      <c r="F159" t="s">
        <v>628</v>
      </c>
      <c r="G159" t="s">
        <v>106</v>
      </c>
      <c r="H159">
        <v>37.299999999999997</v>
      </c>
      <c r="I159">
        <v>44</v>
      </c>
      <c r="J159">
        <v>16.55</v>
      </c>
      <c r="K159">
        <v>45.55</v>
      </c>
      <c r="L159">
        <v>65</v>
      </c>
      <c r="M159" t="s">
        <v>1393</v>
      </c>
      <c r="N159" t="s">
        <v>632</v>
      </c>
      <c r="O159" t="s">
        <v>889</v>
      </c>
      <c r="P159" t="s">
        <v>1394</v>
      </c>
    </row>
    <row r="160" spans="1:17" x14ac:dyDescent="0.25">
      <c r="A160" t="s">
        <v>627</v>
      </c>
      <c r="B160" t="s">
        <v>10</v>
      </c>
      <c r="F160" t="s">
        <v>633</v>
      </c>
      <c r="G160" t="s">
        <v>106</v>
      </c>
      <c r="H160">
        <v>37.299999999999997</v>
      </c>
      <c r="I160">
        <v>44</v>
      </c>
      <c r="J160">
        <v>34.5</v>
      </c>
      <c r="K160">
        <v>63.5</v>
      </c>
      <c r="L160">
        <v>85</v>
      </c>
      <c r="M160" t="s">
        <v>1393</v>
      </c>
      <c r="N160" t="s">
        <v>632</v>
      </c>
      <c r="O160" t="s">
        <v>889</v>
      </c>
      <c r="P160" t="s">
        <v>1394</v>
      </c>
    </row>
    <row r="161" spans="1:18" x14ac:dyDescent="0.25">
      <c r="A161" t="s">
        <v>637</v>
      </c>
      <c r="B161" t="s">
        <v>10</v>
      </c>
      <c r="F161" t="s">
        <v>628</v>
      </c>
      <c r="G161" t="s">
        <v>106</v>
      </c>
      <c r="H161">
        <v>37.299999999999997</v>
      </c>
      <c r="I161">
        <v>44</v>
      </c>
      <c r="J161">
        <v>16.55</v>
      </c>
      <c r="K161">
        <v>45.55</v>
      </c>
      <c r="L161">
        <v>65</v>
      </c>
      <c r="M161" t="s">
        <v>1393</v>
      </c>
      <c r="N161" t="s">
        <v>632</v>
      </c>
      <c r="O161" t="s">
        <v>889</v>
      </c>
      <c r="P161" t="s">
        <v>1394</v>
      </c>
    </row>
    <row r="162" spans="1:18" x14ac:dyDescent="0.25">
      <c r="A162" t="s">
        <v>637</v>
      </c>
      <c r="B162" t="s">
        <v>10</v>
      </c>
      <c r="F162" t="s">
        <v>633</v>
      </c>
      <c r="G162" t="s">
        <v>106</v>
      </c>
      <c r="H162">
        <v>37.299999999999997</v>
      </c>
      <c r="I162">
        <v>44</v>
      </c>
      <c r="J162">
        <v>34.5</v>
      </c>
      <c r="K162">
        <v>63.5</v>
      </c>
      <c r="L162">
        <v>85</v>
      </c>
      <c r="M162" t="s">
        <v>1393</v>
      </c>
      <c r="N162" t="s">
        <v>632</v>
      </c>
      <c r="O162" t="s">
        <v>889</v>
      </c>
      <c r="P162" t="s">
        <v>1394</v>
      </c>
    </row>
    <row r="163" spans="1:18" x14ac:dyDescent="0.25">
      <c r="A163" t="s">
        <v>638</v>
      </c>
      <c r="B163" t="s">
        <v>10</v>
      </c>
      <c r="F163" t="s">
        <v>639</v>
      </c>
      <c r="G163" t="s">
        <v>106</v>
      </c>
      <c r="H163">
        <v>37.299999999999997</v>
      </c>
      <c r="I163">
        <v>44</v>
      </c>
      <c r="J163">
        <v>12.9</v>
      </c>
      <c r="K163">
        <v>33.9</v>
      </c>
      <c r="L163">
        <v>48</v>
      </c>
      <c r="M163" t="s">
        <v>1393</v>
      </c>
      <c r="N163" t="s">
        <v>632</v>
      </c>
      <c r="O163" t="s">
        <v>889</v>
      </c>
      <c r="P163" t="s">
        <v>1394</v>
      </c>
    </row>
    <row r="164" spans="1:18" x14ac:dyDescent="0.25">
      <c r="A164" t="s">
        <v>638</v>
      </c>
      <c r="B164" t="s">
        <v>10</v>
      </c>
      <c r="F164" t="s">
        <v>643</v>
      </c>
      <c r="G164" t="s">
        <v>106</v>
      </c>
      <c r="H164">
        <v>37.299999999999997</v>
      </c>
      <c r="I164">
        <v>44</v>
      </c>
      <c r="J164">
        <v>15.7</v>
      </c>
      <c r="K164">
        <v>40.200000000000003</v>
      </c>
      <c r="L164">
        <v>57.5</v>
      </c>
      <c r="M164" t="s">
        <v>1393</v>
      </c>
      <c r="N164" t="s">
        <v>632</v>
      </c>
      <c r="O164" t="s">
        <v>889</v>
      </c>
      <c r="P164" t="s">
        <v>1394</v>
      </c>
    </row>
    <row r="165" spans="1:18" x14ac:dyDescent="0.25">
      <c r="A165" t="s">
        <v>651</v>
      </c>
      <c r="B165" t="s">
        <v>10</v>
      </c>
      <c r="F165" t="s">
        <v>1396</v>
      </c>
      <c r="G165" t="s">
        <v>106</v>
      </c>
      <c r="H165">
        <v>0.27</v>
      </c>
      <c r="I165">
        <v>82.61</v>
      </c>
      <c r="J165">
        <v>305</v>
      </c>
      <c r="K165">
        <v>785</v>
      </c>
      <c r="L165">
        <f>K165*1.4</f>
        <v>1099</v>
      </c>
      <c r="M165" t="s">
        <v>1398</v>
      </c>
      <c r="N165" t="s">
        <v>1395</v>
      </c>
      <c r="O165" t="s">
        <v>1091</v>
      </c>
      <c r="P165" t="s">
        <v>1092</v>
      </c>
    </row>
    <row r="166" spans="1:18" x14ac:dyDescent="0.25">
      <c r="A166" t="s">
        <v>651</v>
      </c>
      <c r="B166" t="s">
        <v>10</v>
      </c>
      <c r="F166" t="s">
        <v>1397</v>
      </c>
      <c r="G166" t="s">
        <v>106</v>
      </c>
      <c r="H166">
        <v>0.27</v>
      </c>
      <c r="I166">
        <v>196.35</v>
      </c>
      <c r="J166">
        <v>725</v>
      </c>
      <c r="K166">
        <v>1525</v>
      </c>
      <c r="L166">
        <f>K166*1.4</f>
        <v>2135</v>
      </c>
      <c r="M166" t="s">
        <v>1704</v>
      </c>
      <c r="N166" t="s">
        <v>1395</v>
      </c>
      <c r="O166" t="s">
        <v>1091</v>
      </c>
      <c r="P166" t="s">
        <v>1092</v>
      </c>
    </row>
    <row r="167" spans="1:18" x14ac:dyDescent="0.25">
      <c r="A167" t="s">
        <v>661</v>
      </c>
      <c r="B167" t="s">
        <v>10</v>
      </c>
      <c r="F167" t="s">
        <v>1705</v>
      </c>
      <c r="G167" t="s">
        <v>106</v>
      </c>
      <c r="H167" t="s">
        <v>1100</v>
      </c>
      <c r="I167" t="s">
        <v>1100</v>
      </c>
      <c r="J167">
        <v>375</v>
      </c>
      <c r="K167">
        <v>444</v>
      </c>
      <c r="L167">
        <v>525</v>
      </c>
      <c r="M167" t="s">
        <v>1277</v>
      </c>
      <c r="N167" t="s">
        <v>665</v>
      </c>
      <c r="O167" t="s">
        <v>1003</v>
      </c>
      <c r="P167" t="s">
        <v>1101</v>
      </c>
    </row>
    <row r="168" spans="1:18" x14ac:dyDescent="0.25">
      <c r="A168" t="s">
        <v>661</v>
      </c>
      <c r="B168" t="s">
        <v>10</v>
      </c>
      <c r="F168" t="s">
        <v>1708</v>
      </c>
      <c r="G168" t="s">
        <v>106</v>
      </c>
      <c r="H168" t="s">
        <v>1104</v>
      </c>
      <c r="I168" t="s">
        <v>1104</v>
      </c>
      <c r="J168">
        <v>360</v>
      </c>
      <c r="K168">
        <v>396.5</v>
      </c>
      <c r="L168">
        <v>455</v>
      </c>
      <c r="M168" t="s">
        <v>1278</v>
      </c>
      <c r="N168" t="s">
        <v>1709</v>
      </c>
      <c r="O168" t="s">
        <v>1003</v>
      </c>
      <c r="P168" t="s">
        <v>1101</v>
      </c>
    </row>
    <row r="169" spans="1:18" x14ac:dyDescent="0.25">
      <c r="A169" t="s">
        <v>661</v>
      </c>
      <c r="B169" t="s">
        <v>10</v>
      </c>
      <c r="F169" t="s">
        <v>1707</v>
      </c>
      <c r="G169" t="s">
        <v>106</v>
      </c>
      <c r="H169" t="s">
        <v>1107</v>
      </c>
      <c r="I169" t="s">
        <v>1107</v>
      </c>
      <c r="J169">
        <v>335</v>
      </c>
      <c r="K169">
        <v>366</v>
      </c>
      <c r="L169">
        <v>420</v>
      </c>
      <c r="M169" t="s">
        <v>1279</v>
      </c>
      <c r="N169" t="s">
        <v>1710</v>
      </c>
      <c r="O169" t="s">
        <v>1003</v>
      </c>
      <c r="P169" t="s">
        <v>1101</v>
      </c>
    </row>
    <row r="170" spans="1:18" x14ac:dyDescent="0.25">
      <c r="A170" t="s">
        <v>661</v>
      </c>
      <c r="B170" t="s">
        <v>10</v>
      </c>
      <c r="F170" t="s">
        <v>1706</v>
      </c>
      <c r="G170" t="s">
        <v>106</v>
      </c>
      <c r="H170" t="s">
        <v>1110</v>
      </c>
      <c r="I170" t="s">
        <v>1110</v>
      </c>
      <c r="J170">
        <v>430</v>
      </c>
      <c r="K170">
        <v>477.5</v>
      </c>
      <c r="L170">
        <v>555</v>
      </c>
      <c r="M170" t="s">
        <v>1280</v>
      </c>
      <c r="N170" t="s">
        <v>1711</v>
      </c>
      <c r="O170" t="s">
        <v>1003</v>
      </c>
      <c r="P170" t="s">
        <v>1101</v>
      </c>
    </row>
    <row r="171" spans="1:18" x14ac:dyDescent="0.25">
      <c r="A171" t="s">
        <v>677</v>
      </c>
      <c r="B171" t="s">
        <v>10</v>
      </c>
      <c r="F171" t="s">
        <v>1712</v>
      </c>
      <c r="G171" t="s">
        <v>12</v>
      </c>
      <c r="H171" t="s">
        <v>1019</v>
      </c>
      <c r="I171" t="s">
        <v>1019</v>
      </c>
      <c r="J171">
        <v>0.44</v>
      </c>
      <c r="K171">
        <v>1.5375000000000001</v>
      </c>
      <c r="L171">
        <v>2.2250000000000001</v>
      </c>
      <c r="M171" t="s">
        <v>1248</v>
      </c>
      <c r="N171" t="s">
        <v>1356</v>
      </c>
      <c r="O171" t="s">
        <v>12</v>
      </c>
      <c r="Q171" t="s">
        <v>12</v>
      </c>
    </row>
    <row r="172" spans="1:18" x14ac:dyDescent="0.25">
      <c r="A172" t="s">
        <v>677</v>
      </c>
      <c r="B172" t="s">
        <v>10</v>
      </c>
      <c r="F172" t="s">
        <v>1712</v>
      </c>
      <c r="G172" t="s">
        <v>12</v>
      </c>
      <c r="H172" t="s">
        <v>1021</v>
      </c>
      <c r="I172" t="s">
        <v>1021</v>
      </c>
      <c r="J172">
        <v>0.44</v>
      </c>
      <c r="K172">
        <v>1.5375000000000001</v>
      </c>
      <c r="L172">
        <v>2.2250000000000001</v>
      </c>
      <c r="M172" t="s">
        <v>1249</v>
      </c>
      <c r="N172" t="s">
        <v>1356</v>
      </c>
      <c r="O172" t="s">
        <v>12</v>
      </c>
      <c r="Q172" t="s">
        <v>12</v>
      </c>
    </row>
    <row r="173" spans="1:18" x14ac:dyDescent="0.25">
      <c r="A173" t="s">
        <v>677</v>
      </c>
      <c r="B173" t="s">
        <v>10</v>
      </c>
      <c r="F173" t="s">
        <v>1712</v>
      </c>
      <c r="G173" t="s">
        <v>12</v>
      </c>
      <c r="H173" t="s">
        <v>1023</v>
      </c>
      <c r="I173" t="s">
        <v>1023</v>
      </c>
      <c r="J173">
        <v>0.44</v>
      </c>
      <c r="K173">
        <v>1.5375000000000001</v>
      </c>
      <c r="L173">
        <v>2.2250000000000001</v>
      </c>
      <c r="M173" t="s">
        <v>1250</v>
      </c>
      <c r="N173" t="s">
        <v>1356</v>
      </c>
      <c r="O173" t="s">
        <v>12</v>
      </c>
      <c r="Q173" t="s">
        <v>12</v>
      </c>
    </row>
    <row r="174" spans="1:18" x14ac:dyDescent="0.25">
      <c r="A174" t="s">
        <v>678</v>
      </c>
      <c r="B174" t="s">
        <v>10</v>
      </c>
      <c r="F174" t="s">
        <v>486</v>
      </c>
      <c r="G174" t="s">
        <v>12</v>
      </c>
      <c r="H174">
        <v>0.32200000000000001</v>
      </c>
      <c r="I174">
        <v>0.24149999999999999</v>
      </c>
      <c r="J174">
        <v>0.38</v>
      </c>
      <c r="K174">
        <v>0.72</v>
      </c>
      <c r="L174">
        <v>0.98</v>
      </c>
      <c r="M174" t="s">
        <v>1255</v>
      </c>
      <c r="N174" t="s">
        <v>490</v>
      </c>
      <c r="O174" t="s">
        <v>12</v>
      </c>
      <c r="P174" t="s">
        <v>1365</v>
      </c>
      <c r="Q174" t="s">
        <v>12</v>
      </c>
      <c r="R174" t="s">
        <v>1368</v>
      </c>
    </row>
    <row r="175" spans="1:18" x14ac:dyDescent="0.25">
      <c r="A175" t="s">
        <v>678</v>
      </c>
      <c r="B175" t="s">
        <v>10</v>
      </c>
      <c r="F175" t="s">
        <v>491</v>
      </c>
      <c r="G175" t="s">
        <v>12</v>
      </c>
      <c r="H175">
        <v>0.32200000000000001</v>
      </c>
      <c r="I175">
        <v>0.32200000000000001</v>
      </c>
      <c r="J175">
        <v>0.35</v>
      </c>
      <c r="K175">
        <v>0.69</v>
      </c>
      <c r="L175">
        <v>0.95</v>
      </c>
      <c r="M175" t="s">
        <v>1255</v>
      </c>
      <c r="N175" t="s">
        <v>490</v>
      </c>
      <c r="O175" t="s">
        <v>12</v>
      </c>
      <c r="P175" t="s">
        <v>1365</v>
      </c>
      <c r="Q175" t="s">
        <v>12</v>
      </c>
      <c r="R175" t="s">
        <v>1368</v>
      </c>
    </row>
    <row r="176" spans="1:18" x14ac:dyDescent="0.25">
      <c r="A176" t="s">
        <v>678</v>
      </c>
      <c r="B176" t="s">
        <v>10</v>
      </c>
      <c r="F176" t="s">
        <v>492</v>
      </c>
      <c r="G176" t="s">
        <v>12</v>
      </c>
      <c r="H176">
        <v>0.32200000000000001</v>
      </c>
      <c r="I176">
        <v>0.40250000000000002</v>
      </c>
      <c r="J176">
        <v>0.3</v>
      </c>
      <c r="K176">
        <v>0.64</v>
      </c>
      <c r="L176">
        <v>0.89</v>
      </c>
      <c r="M176" t="s">
        <v>1255</v>
      </c>
      <c r="N176" t="s">
        <v>490</v>
      </c>
      <c r="O176" t="s">
        <v>12</v>
      </c>
      <c r="P176" t="s">
        <v>1365</v>
      </c>
      <c r="Q176" t="s">
        <v>12</v>
      </c>
      <c r="R176" t="s">
        <v>1368</v>
      </c>
    </row>
    <row r="177" spans="1:18" x14ac:dyDescent="0.25">
      <c r="A177" t="s">
        <v>678</v>
      </c>
      <c r="B177" t="s">
        <v>10</v>
      </c>
      <c r="F177" t="s">
        <v>496</v>
      </c>
      <c r="G177" t="s">
        <v>12</v>
      </c>
      <c r="H177">
        <v>0.436</v>
      </c>
      <c r="I177">
        <v>0.3488</v>
      </c>
      <c r="J177">
        <v>0.45</v>
      </c>
      <c r="K177">
        <v>0.79</v>
      </c>
      <c r="L177">
        <v>1.06</v>
      </c>
      <c r="M177" t="s">
        <v>1256</v>
      </c>
      <c r="N177" t="s">
        <v>490</v>
      </c>
      <c r="O177" t="s">
        <v>12</v>
      </c>
      <c r="P177" t="s">
        <v>1365</v>
      </c>
      <c r="Q177" t="s">
        <v>12</v>
      </c>
      <c r="R177" t="s">
        <v>1368</v>
      </c>
    </row>
    <row r="178" spans="1:18" x14ac:dyDescent="0.25">
      <c r="A178" t="s">
        <v>678</v>
      </c>
      <c r="B178" t="s">
        <v>10</v>
      </c>
      <c r="F178" t="s">
        <v>500</v>
      </c>
      <c r="G178" t="s">
        <v>12</v>
      </c>
      <c r="H178">
        <v>0.436</v>
      </c>
      <c r="I178">
        <v>0.436</v>
      </c>
      <c r="J178">
        <v>0.41</v>
      </c>
      <c r="K178">
        <v>0.75</v>
      </c>
      <c r="L178">
        <v>1.01</v>
      </c>
      <c r="M178" t="s">
        <v>1256</v>
      </c>
      <c r="N178" t="s">
        <v>490</v>
      </c>
      <c r="O178" t="s">
        <v>12</v>
      </c>
      <c r="P178" t="s">
        <v>1365</v>
      </c>
      <c r="Q178" t="s">
        <v>12</v>
      </c>
      <c r="R178" t="s">
        <v>1368</v>
      </c>
    </row>
    <row r="179" spans="1:18" x14ac:dyDescent="0.25">
      <c r="A179" t="s">
        <v>678</v>
      </c>
      <c r="B179" t="s">
        <v>10</v>
      </c>
      <c r="F179" t="s">
        <v>504</v>
      </c>
      <c r="G179" t="s">
        <v>12</v>
      </c>
      <c r="H179">
        <v>0.436</v>
      </c>
      <c r="I179">
        <v>0.3488</v>
      </c>
      <c r="J179">
        <v>0.48</v>
      </c>
      <c r="K179">
        <v>0.82</v>
      </c>
      <c r="L179">
        <v>1.0900000000000001</v>
      </c>
      <c r="M179" t="s">
        <v>1256</v>
      </c>
      <c r="N179" t="s">
        <v>490</v>
      </c>
      <c r="O179" t="s">
        <v>12</v>
      </c>
      <c r="P179" t="s">
        <v>1365</v>
      </c>
      <c r="Q179" t="s">
        <v>12</v>
      </c>
      <c r="R179" t="s">
        <v>1368</v>
      </c>
    </row>
    <row r="180" spans="1:18" x14ac:dyDescent="0.25">
      <c r="A180" t="s">
        <v>678</v>
      </c>
      <c r="B180" t="s">
        <v>10</v>
      </c>
      <c r="F180" t="s">
        <v>507</v>
      </c>
      <c r="G180" t="s">
        <v>12</v>
      </c>
      <c r="H180">
        <v>0.436</v>
      </c>
      <c r="I180">
        <v>0.436</v>
      </c>
      <c r="J180">
        <v>0.66</v>
      </c>
      <c r="K180">
        <v>1</v>
      </c>
      <c r="L180">
        <v>1.29</v>
      </c>
      <c r="M180" t="s">
        <v>1256</v>
      </c>
      <c r="N180" t="s">
        <v>490</v>
      </c>
      <c r="O180" t="s">
        <v>12</v>
      </c>
      <c r="P180" t="s">
        <v>1365</v>
      </c>
      <c r="Q180" t="s">
        <v>12</v>
      </c>
      <c r="R180" t="s">
        <v>1368</v>
      </c>
    </row>
    <row r="181" spans="1:18" x14ac:dyDescent="0.25">
      <c r="A181" t="s">
        <v>685</v>
      </c>
      <c r="B181" t="s">
        <v>10</v>
      </c>
      <c r="D181" t="s">
        <v>1330</v>
      </c>
      <c r="F181" t="s">
        <v>11</v>
      </c>
      <c r="G181" t="s">
        <v>12</v>
      </c>
      <c r="H181" t="s">
        <v>863</v>
      </c>
      <c r="I181" t="s">
        <v>863</v>
      </c>
      <c r="J181">
        <v>0.64</v>
      </c>
      <c r="K181">
        <v>1.1499999999999999</v>
      </c>
      <c r="L181">
        <v>1.42</v>
      </c>
      <c r="M181" t="s">
        <v>1193</v>
      </c>
      <c r="N181" t="s">
        <v>16</v>
      </c>
      <c r="O181" t="s">
        <v>12</v>
      </c>
      <c r="Q181" t="s">
        <v>12</v>
      </c>
    </row>
    <row r="182" spans="1:18" x14ac:dyDescent="0.25">
      <c r="A182" t="s">
        <v>685</v>
      </c>
      <c r="B182" t="s">
        <v>10</v>
      </c>
      <c r="D182" t="s">
        <v>1330</v>
      </c>
      <c r="F182" t="s">
        <v>17</v>
      </c>
      <c r="G182" t="s">
        <v>12</v>
      </c>
      <c r="H182" t="s">
        <v>865</v>
      </c>
      <c r="I182" t="s">
        <v>865</v>
      </c>
      <c r="J182">
        <v>0.82</v>
      </c>
      <c r="K182">
        <v>1.57</v>
      </c>
      <c r="L182">
        <v>1.93</v>
      </c>
      <c r="M182" t="s">
        <v>1194</v>
      </c>
      <c r="N182" t="s">
        <v>16</v>
      </c>
      <c r="O182" t="s">
        <v>12</v>
      </c>
      <c r="Q182" t="s">
        <v>12</v>
      </c>
    </row>
    <row r="183" spans="1:18" x14ac:dyDescent="0.25">
      <c r="A183" t="s">
        <v>685</v>
      </c>
      <c r="B183" t="s">
        <v>10</v>
      </c>
      <c r="D183" t="s">
        <v>1330</v>
      </c>
      <c r="F183" t="s">
        <v>21</v>
      </c>
      <c r="G183" t="s">
        <v>12</v>
      </c>
      <c r="H183" t="s">
        <v>866</v>
      </c>
      <c r="I183" t="s">
        <v>866</v>
      </c>
      <c r="J183">
        <f>0.64+0.25</f>
        <v>0.89</v>
      </c>
      <c r="K183">
        <f>1.15+0.52</f>
        <v>1.67</v>
      </c>
      <c r="L183">
        <f>1.42+0.65</f>
        <v>2.0699999999999998</v>
      </c>
      <c r="M183" t="s">
        <v>1195</v>
      </c>
      <c r="N183" t="s">
        <v>16</v>
      </c>
      <c r="O183" t="s">
        <v>12</v>
      </c>
      <c r="Q183" t="s">
        <v>12</v>
      </c>
    </row>
    <row r="184" spans="1:18" x14ac:dyDescent="0.25">
      <c r="A184" t="s">
        <v>685</v>
      </c>
      <c r="B184" t="s">
        <v>10</v>
      </c>
      <c r="D184" t="s">
        <v>1330</v>
      </c>
      <c r="F184" t="s">
        <v>25</v>
      </c>
      <c r="G184" t="s">
        <v>12</v>
      </c>
      <c r="H184" t="s">
        <v>867</v>
      </c>
      <c r="I184" t="s">
        <v>867</v>
      </c>
      <c r="J184">
        <f>2*J181</f>
        <v>1.28</v>
      </c>
      <c r="K184">
        <f t="shared" ref="K184:L184" si="5">2*K181</f>
        <v>2.2999999999999998</v>
      </c>
      <c r="L184">
        <f t="shared" si="5"/>
        <v>2.84</v>
      </c>
      <c r="M184" t="s">
        <v>1196</v>
      </c>
      <c r="N184" t="s">
        <v>16</v>
      </c>
      <c r="O184" t="s">
        <v>12</v>
      </c>
      <c r="Q184" t="s">
        <v>12</v>
      </c>
    </row>
    <row r="185" spans="1:18" x14ac:dyDescent="0.25">
      <c r="A185" t="s">
        <v>685</v>
      </c>
      <c r="B185" t="s">
        <v>10</v>
      </c>
      <c r="D185" t="s">
        <v>1329</v>
      </c>
      <c r="F185" t="s">
        <v>29</v>
      </c>
      <c r="G185" t="s">
        <v>12</v>
      </c>
      <c r="H185" t="s">
        <v>868</v>
      </c>
      <c r="I185" t="s">
        <v>868</v>
      </c>
      <c r="J185">
        <v>1</v>
      </c>
      <c r="K185">
        <v>1.62</v>
      </c>
      <c r="L185">
        <v>2.11</v>
      </c>
      <c r="M185" t="s">
        <v>1197</v>
      </c>
      <c r="N185" t="s">
        <v>33</v>
      </c>
      <c r="O185" t="s">
        <v>12</v>
      </c>
      <c r="Q185" t="s">
        <v>12</v>
      </c>
    </row>
    <row r="186" spans="1:18" x14ac:dyDescent="0.25">
      <c r="A186" t="s">
        <v>685</v>
      </c>
      <c r="B186" t="s">
        <v>10</v>
      </c>
      <c r="D186" t="s">
        <v>1329</v>
      </c>
      <c r="F186" t="s">
        <v>34</v>
      </c>
      <c r="G186" t="s">
        <v>12</v>
      </c>
      <c r="H186" t="s">
        <v>869</v>
      </c>
      <c r="I186" t="s">
        <v>869</v>
      </c>
      <c r="J186">
        <v>1.58</v>
      </c>
      <c r="K186">
        <v>2.23</v>
      </c>
      <c r="L186">
        <v>2.8</v>
      </c>
      <c r="M186" t="s">
        <v>1198</v>
      </c>
      <c r="N186" t="s">
        <v>33</v>
      </c>
      <c r="O186" t="s">
        <v>12</v>
      </c>
      <c r="Q186" t="s">
        <v>12</v>
      </c>
    </row>
    <row r="187" spans="1:18" x14ac:dyDescent="0.25">
      <c r="A187" t="s">
        <v>685</v>
      </c>
      <c r="B187" t="s">
        <v>10</v>
      </c>
      <c r="D187" t="s">
        <v>1329</v>
      </c>
      <c r="F187" t="s">
        <v>38</v>
      </c>
      <c r="G187" t="s">
        <v>12</v>
      </c>
      <c r="H187" t="s">
        <v>870</v>
      </c>
      <c r="I187" t="s">
        <v>870</v>
      </c>
      <c r="J187">
        <v>1.93</v>
      </c>
      <c r="K187">
        <f>1.62+1.55</f>
        <v>3.17</v>
      </c>
      <c r="L187">
        <f>4.14</f>
        <v>4.1399999999999997</v>
      </c>
      <c r="M187" t="s">
        <v>1199</v>
      </c>
      <c r="N187" t="s">
        <v>33</v>
      </c>
      <c r="O187" t="s">
        <v>12</v>
      </c>
      <c r="Q187" t="s">
        <v>12</v>
      </c>
    </row>
    <row r="188" spans="1:18" x14ac:dyDescent="0.25">
      <c r="A188" t="s">
        <v>685</v>
      </c>
      <c r="B188" t="s">
        <v>10</v>
      </c>
      <c r="D188" t="s">
        <v>1329</v>
      </c>
      <c r="F188" t="s">
        <v>42</v>
      </c>
      <c r="G188" t="s">
        <v>12</v>
      </c>
      <c r="H188" t="s">
        <v>871</v>
      </c>
      <c r="I188" t="s">
        <v>871</v>
      </c>
      <c r="J188">
        <v>2</v>
      </c>
      <c r="K188">
        <v>3.24</v>
      </c>
      <c r="L188">
        <v>4.22</v>
      </c>
      <c r="M188" t="s">
        <v>1200</v>
      </c>
      <c r="N188" t="s">
        <v>33</v>
      </c>
      <c r="O188" t="s">
        <v>12</v>
      </c>
      <c r="Q188" t="s">
        <v>12</v>
      </c>
    </row>
    <row r="189" spans="1:18" x14ac:dyDescent="0.25">
      <c r="A189" t="s">
        <v>685</v>
      </c>
      <c r="B189" t="s">
        <v>10</v>
      </c>
      <c r="D189" t="s">
        <v>1330</v>
      </c>
      <c r="F189" t="s">
        <v>46</v>
      </c>
      <c r="G189" t="s">
        <v>12</v>
      </c>
      <c r="H189" t="s">
        <v>872</v>
      </c>
      <c r="I189" t="s">
        <v>872</v>
      </c>
      <c r="J189">
        <v>0.7</v>
      </c>
      <c r="K189">
        <v>1.65</v>
      </c>
      <c r="L189">
        <v>2.1</v>
      </c>
      <c r="M189" t="s">
        <v>1201</v>
      </c>
      <c r="N189" t="s">
        <v>16</v>
      </c>
      <c r="O189" t="s">
        <v>12</v>
      </c>
      <c r="Q189" t="s">
        <v>12</v>
      </c>
    </row>
    <row r="190" spans="1:18" x14ac:dyDescent="0.25">
      <c r="A190" t="s">
        <v>685</v>
      </c>
      <c r="B190" t="s">
        <v>10</v>
      </c>
      <c r="D190" t="s">
        <v>1330</v>
      </c>
      <c r="F190" t="s">
        <v>50</v>
      </c>
      <c r="G190" t="s">
        <v>12</v>
      </c>
      <c r="H190" t="s">
        <v>873</v>
      </c>
      <c r="I190" t="s">
        <v>873</v>
      </c>
      <c r="J190">
        <v>0.9</v>
      </c>
      <c r="K190">
        <v>2.0699999999999998</v>
      </c>
      <c r="L190">
        <v>2.6</v>
      </c>
      <c r="M190" t="s">
        <v>1202</v>
      </c>
      <c r="N190" t="s">
        <v>16</v>
      </c>
      <c r="O190" t="s">
        <v>12</v>
      </c>
      <c r="Q190" t="s">
        <v>12</v>
      </c>
    </row>
    <row r="191" spans="1:18" x14ac:dyDescent="0.25">
      <c r="A191" t="s">
        <v>685</v>
      </c>
      <c r="B191" t="s">
        <v>10</v>
      </c>
      <c r="D191" t="s">
        <v>1330</v>
      </c>
      <c r="F191" t="s">
        <v>54</v>
      </c>
      <c r="G191" t="s">
        <v>12</v>
      </c>
      <c r="H191" t="s">
        <v>874</v>
      </c>
      <c r="I191" t="s">
        <v>874</v>
      </c>
      <c r="J191">
        <v>1.18</v>
      </c>
      <c r="K191">
        <v>2.63</v>
      </c>
      <c r="L191">
        <v>3.31</v>
      </c>
      <c r="M191" t="s">
        <v>1203</v>
      </c>
      <c r="N191" t="s">
        <v>16</v>
      </c>
      <c r="O191" t="s">
        <v>12</v>
      </c>
      <c r="Q191" t="s">
        <v>12</v>
      </c>
    </row>
    <row r="192" spans="1:18" x14ac:dyDescent="0.25">
      <c r="A192" t="s">
        <v>685</v>
      </c>
      <c r="B192" t="s">
        <v>10</v>
      </c>
      <c r="D192" t="s">
        <v>1330</v>
      </c>
      <c r="F192" t="s">
        <v>58</v>
      </c>
      <c r="G192" t="s">
        <v>12</v>
      </c>
      <c r="H192" t="s">
        <v>875</v>
      </c>
      <c r="I192" t="s">
        <v>875</v>
      </c>
      <c r="J192">
        <f>J189*2</f>
        <v>1.4</v>
      </c>
      <c r="K192">
        <f t="shared" ref="K192:L192" si="6">K189*2</f>
        <v>3.3</v>
      </c>
      <c r="L192">
        <f t="shared" si="6"/>
        <v>4.2</v>
      </c>
      <c r="M192" t="s">
        <v>1204</v>
      </c>
      <c r="N192" t="s">
        <v>16</v>
      </c>
      <c r="O192" t="s">
        <v>12</v>
      </c>
      <c r="Q192" t="s">
        <v>12</v>
      </c>
    </row>
    <row r="193" spans="1:19" x14ac:dyDescent="0.25">
      <c r="A193" t="s">
        <v>685</v>
      </c>
      <c r="B193" t="s">
        <v>10</v>
      </c>
      <c r="D193" t="s">
        <v>1330</v>
      </c>
      <c r="F193" t="s">
        <v>876</v>
      </c>
      <c r="G193" t="s">
        <v>12</v>
      </c>
      <c r="H193" t="s">
        <v>877</v>
      </c>
      <c r="I193" t="s">
        <v>877</v>
      </c>
      <c r="J193">
        <v>0.75</v>
      </c>
      <c r="K193">
        <f>0.82+1.22</f>
        <v>2.04</v>
      </c>
      <c r="L193">
        <f>1.17+1.76</f>
        <v>2.9299999999999997</v>
      </c>
      <c r="M193" t="s">
        <v>1205</v>
      </c>
      <c r="N193" t="s">
        <v>533</v>
      </c>
      <c r="O193" t="s">
        <v>1325</v>
      </c>
      <c r="P193" t="s">
        <v>1326</v>
      </c>
      <c r="Q193" t="s">
        <v>12</v>
      </c>
    </row>
    <row r="194" spans="1:19" x14ac:dyDescent="0.25">
      <c r="A194" t="s">
        <v>685</v>
      </c>
      <c r="B194" t="s">
        <v>10</v>
      </c>
      <c r="D194" t="s">
        <v>1330</v>
      </c>
      <c r="F194" t="s">
        <v>878</v>
      </c>
      <c r="G194" t="s">
        <v>12</v>
      </c>
      <c r="H194" t="s">
        <v>879</v>
      </c>
      <c r="I194" t="s">
        <v>879</v>
      </c>
      <c r="J194">
        <f>0.9*38/36</f>
        <v>0.95000000000000007</v>
      </c>
      <c r="K194">
        <f>2.45*38/36</f>
        <v>2.5861111111111112</v>
      </c>
      <c r="L194">
        <f>38/36*3.51</f>
        <v>3.7050000000000001</v>
      </c>
      <c r="M194" t="s">
        <v>1206</v>
      </c>
      <c r="N194" t="s">
        <v>533</v>
      </c>
      <c r="O194" t="s">
        <v>1325</v>
      </c>
      <c r="P194" t="s">
        <v>1326</v>
      </c>
      <c r="Q194" t="s">
        <v>12</v>
      </c>
    </row>
    <row r="195" spans="1:19" x14ac:dyDescent="0.25">
      <c r="A195" t="s">
        <v>685</v>
      </c>
      <c r="B195" t="s">
        <v>10</v>
      </c>
      <c r="D195" t="s">
        <v>1330</v>
      </c>
      <c r="F195" t="s">
        <v>880</v>
      </c>
      <c r="G195" t="s">
        <v>12</v>
      </c>
      <c r="H195" t="s">
        <v>881</v>
      </c>
      <c r="I195" t="s">
        <v>881</v>
      </c>
      <c r="J195">
        <f>0.9*49/36</f>
        <v>1.2250000000000001</v>
      </c>
      <c r="K195">
        <f>2.45*49/36</f>
        <v>3.3347222222222226</v>
      </c>
      <c r="L195">
        <f>49/36*3.51</f>
        <v>4.7774999999999999</v>
      </c>
      <c r="M195" t="s">
        <v>1207</v>
      </c>
      <c r="N195" t="s">
        <v>533</v>
      </c>
      <c r="O195" t="s">
        <v>1325</v>
      </c>
      <c r="P195" t="s">
        <v>1326</v>
      </c>
      <c r="Q195" t="s">
        <v>12</v>
      </c>
    </row>
    <row r="196" spans="1:19" x14ac:dyDescent="0.25">
      <c r="A196" t="s">
        <v>685</v>
      </c>
      <c r="B196" t="s">
        <v>10</v>
      </c>
      <c r="D196" t="s">
        <v>1330</v>
      </c>
      <c r="F196" t="s">
        <v>882</v>
      </c>
      <c r="G196" t="s">
        <v>12</v>
      </c>
      <c r="H196" t="s">
        <v>883</v>
      </c>
      <c r="I196" t="s">
        <v>883</v>
      </c>
      <c r="J196">
        <f>J193*2</f>
        <v>1.5</v>
      </c>
      <c r="K196">
        <f t="shared" ref="K196:L196" si="7">K193*2</f>
        <v>4.08</v>
      </c>
      <c r="L196">
        <f t="shared" si="7"/>
        <v>5.8599999999999994</v>
      </c>
      <c r="M196" t="s">
        <v>1208</v>
      </c>
      <c r="N196" t="s">
        <v>533</v>
      </c>
      <c r="O196" t="s">
        <v>1325</v>
      </c>
      <c r="P196" t="s">
        <v>1326</v>
      </c>
      <c r="Q196" t="s">
        <v>12</v>
      </c>
    </row>
    <row r="197" spans="1:19" x14ac:dyDescent="0.25">
      <c r="A197" t="s">
        <v>741</v>
      </c>
      <c r="B197" t="s">
        <v>10</v>
      </c>
      <c r="D197" t="s">
        <v>1727</v>
      </c>
      <c r="F197" t="s">
        <v>742</v>
      </c>
      <c r="G197" t="s">
        <v>12</v>
      </c>
      <c r="H197" t="s">
        <v>1129</v>
      </c>
      <c r="I197" t="s">
        <v>1129</v>
      </c>
      <c r="J197">
        <f>1.47+0.06</f>
        <v>1.53</v>
      </c>
      <c r="K197">
        <f>2.59+0.17</f>
        <v>2.76</v>
      </c>
      <c r="L197">
        <f>K197*1.49</f>
        <v>4.1124000000000001</v>
      </c>
      <c r="M197" t="s">
        <v>1285</v>
      </c>
      <c r="N197" t="s">
        <v>1713</v>
      </c>
      <c r="O197" t="s">
        <v>12</v>
      </c>
      <c r="Q197" t="s">
        <v>12</v>
      </c>
    </row>
    <row r="198" spans="1:19" x14ac:dyDescent="0.25">
      <c r="A198" t="s">
        <v>741</v>
      </c>
      <c r="B198" t="s">
        <v>10</v>
      </c>
      <c r="D198" t="s">
        <v>1727</v>
      </c>
      <c r="F198" t="s">
        <v>743</v>
      </c>
      <c r="G198" t="s">
        <v>12</v>
      </c>
      <c r="H198" t="s">
        <v>1130</v>
      </c>
      <c r="I198" t="s">
        <v>1130</v>
      </c>
      <c r="J198">
        <f>1.47+0.06+0.06</f>
        <v>1.59</v>
      </c>
      <c r="K198">
        <f>2.59+0.17+0.17</f>
        <v>2.9299999999999997</v>
      </c>
      <c r="L198">
        <f t="shared" ref="L198:L200" si="8">K198*1.49</f>
        <v>4.3656999999999995</v>
      </c>
      <c r="M198" t="s">
        <v>1286</v>
      </c>
      <c r="N198" t="s">
        <v>1713</v>
      </c>
      <c r="O198" t="s">
        <v>12</v>
      </c>
      <c r="Q198" t="s">
        <v>12</v>
      </c>
    </row>
    <row r="199" spans="1:19" x14ac:dyDescent="0.25">
      <c r="A199" t="s">
        <v>741</v>
      </c>
      <c r="B199" t="s">
        <v>10</v>
      </c>
      <c r="D199" t="s">
        <v>1728</v>
      </c>
      <c r="F199" t="s">
        <v>746</v>
      </c>
      <c r="G199" t="s">
        <v>12</v>
      </c>
      <c r="H199" t="s">
        <v>1133</v>
      </c>
      <c r="I199" t="s">
        <v>1133</v>
      </c>
      <c r="J199">
        <f>6.85+0.06</f>
        <v>6.9099999999999993</v>
      </c>
      <c r="K199">
        <f>9.96+0.17</f>
        <v>10.130000000000001</v>
      </c>
      <c r="L199">
        <f t="shared" si="8"/>
        <v>15.093700000000002</v>
      </c>
      <c r="M199" t="s">
        <v>1289</v>
      </c>
      <c r="N199" t="s">
        <v>1713</v>
      </c>
      <c r="O199" t="s">
        <v>12</v>
      </c>
      <c r="Q199" t="s">
        <v>12</v>
      </c>
    </row>
    <row r="200" spans="1:19" x14ac:dyDescent="0.25">
      <c r="A200" t="s">
        <v>741</v>
      </c>
      <c r="B200" t="s">
        <v>10</v>
      </c>
      <c r="D200" t="s">
        <v>1728</v>
      </c>
      <c r="F200" t="s">
        <v>747</v>
      </c>
      <c r="G200" t="s">
        <v>12</v>
      </c>
      <c r="H200" t="s">
        <v>1134</v>
      </c>
      <c r="I200" t="s">
        <v>1134</v>
      </c>
      <c r="J200">
        <f>6.85+0.06+0.06</f>
        <v>6.9699999999999989</v>
      </c>
      <c r="K200">
        <f>9.96+0.17+0.17</f>
        <v>10.3</v>
      </c>
      <c r="L200">
        <f t="shared" si="8"/>
        <v>15.347000000000001</v>
      </c>
      <c r="M200" t="s">
        <v>1290</v>
      </c>
      <c r="N200" t="s">
        <v>1713</v>
      </c>
      <c r="O200" t="s">
        <v>12</v>
      </c>
      <c r="Q200" t="s">
        <v>12</v>
      </c>
    </row>
    <row r="201" spans="1:19" x14ac:dyDescent="0.25">
      <c r="A201" t="s">
        <v>741</v>
      </c>
      <c r="B201" t="s">
        <v>10</v>
      </c>
      <c r="D201" t="s">
        <v>1729</v>
      </c>
      <c r="F201" t="s">
        <v>1722</v>
      </c>
      <c r="G201" t="s">
        <v>12</v>
      </c>
      <c r="H201">
        <f>4.754+0.04+0.3</f>
        <v>5.0939999999999994</v>
      </c>
      <c r="I201">
        <f>H201*0.76</f>
        <v>3.8714399999999998</v>
      </c>
      <c r="J201">
        <f>1.44+0.06</f>
        <v>1.5</v>
      </c>
      <c r="K201">
        <f>2.4+0.17</f>
        <v>2.57</v>
      </c>
      <c r="L201">
        <f>K201*1.49</f>
        <v>3.8292999999999999</v>
      </c>
      <c r="M201" t="s">
        <v>1725</v>
      </c>
      <c r="N201" t="s">
        <v>732</v>
      </c>
      <c r="O201" t="s">
        <v>889</v>
      </c>
      <c r="P201" t="s">
        <v>1724</v>
      </c>
      <c r="Q201" t="s">
        <v>12</v>
      </c>
      <c r="S201" t="s">
        <v>1726</v>
      </c>
    </row>
    <row r="202" spans="1:19" x14ac:dyDescent="0.25">
      <c r="A202" t="s">
        <v>741</v>
      </c>
      <c r="B202" t="s">
        <v>10</v>
      </c>
      <c r="D202" t="s">
        <v>1729</v>
      </c>
      <c r="F202" t="s">
        <v>1723</v>
      </c>
      <c r="G202" t="s">
        <v>12</v>
      </c>
      <c r="H202">
        <f>4.754+0.04+0.04+0.3</f>
        <v>5.1339999999999995</v>
      </c>
      <c r="I202">
        <f>H202*0.76</f>
        <v>3.9018399999999995</v>
      </c>
      <c r="J202">
        <f>1.44+0.06+0.06</f>
        <v>1.56</v>
      </c>
      <c r="K202">
        <f>2.4+0.17+0.17</f>
        <v>2.7399999999999998</v>
      </c>
      <c r="L202">
        <f t="shared" ref="L202" si="9">K202*1.49</f>
        <v>4.0825999999999993</v>
      </c>
      <c r="M202" t="s">
        <v>1725</v>
      </c>
      <c r="N202" t="s">
        <v>732</v>
      </c>
      <c r="O202" t="s">
        <v>889</v>
      </c>
      <c r="P202" t="s">
        <v>1724</v>
      </c>
      <c r="Q202" t="s">
        <v>12</v>
      </c>
      <c r="S202" t="s">
        <v>1726</v>
      </c>
    </row>
    <row r="203" spans="1:19" x14ac:dyDescent="0.25">
      <c r="A203" t="s">
        <v>750</v>
      </c>
      <c r="B203" t="s">
        <v>10</v>
      </c>
      <c r="F203" t="s">
        <v>1714</v>
      </c>
      <c r="G203" t="s">
        <v>12</v>
      </c>
      <c r="H203" s="2">
        <v>0.315</v>
      </c>
      <c r="I203" s="2">
        <v>0.315</v>
      </c>
      <c r="J203">
        <v>1.08</v>
      </c>
      <c r="K203">
        <v>1.41</v>
      </c>
      <c r="L203">
        <v>1.73</v>
      </c>
      <c r="M203" t="s">
        <v>1228</v>
      </c>
      <c r="N203" t="s">
        <v>755</v>
      </c>
      <c r="O203" t="s">
        <v>12</v>
      </c>
      <c r="Q203" t="s">
        <v>12</v>
      </c>
    </row>
    <row r="204" spans="1:19" x14ac:dyDescent="0.25">
      <c r="A204" t="s">
        <v>750</v>
      </c>
      <c r="B204" t="s">
        <v>10</v>
      </c>
      <c r="F204" t="s">
        <v>1715</v>
      </c>
      <c r="G204" t="s">
        <v>12</v>
      </c>
      <c r="H204" s="2">
        <v>0.315</v>
      </c>
      <c r="I204" s="2">
        <v>0.42</v>
      </c>
      <c r="J204">
        <v>1.1599999999999999</v>
      </c>
      <c r="K204">
        <v>1.52</v>
      </c>
      <c r="L204">
        <v>1.86</v>
      </c>
      <c r="M204" t="s">
        <v>1228</v>
      </c>
      <c r="N204" t="s">
        <v>755</v>
      </c>
      <c r="O204" t="s">
        <v>12</v>
      </c>
      <c r="Q204" t="s">
        <v>12</v>
      </c>
    </row>
    <row r="205" spans="1:19" x14ac:dyDescent="0.25">
      <c r="A205" t="s">
        <v>750</v>
      </c>
      <c r="B205" t="s">
        <v>10</v>
      </c>
      <c r="F205" t="s">
        <v>1716</v>
      </c>
      <c r="G205" t="s">
        <v>12</v>
      </c>
      <c r="H205" s="2">
        <v>0.315</v>
      </c>
      <c r="I205" s="2">
        <v>0.52500000000000002</v>
      </c>
      <c r="J205">
        <v>1.37</v>
      </c>
      <c r="K205">
        <v>1.76</v>
      </c>
      <c r="L205">
        <v>2.15</v>
      </c>
      <c r="M205" t="s">
        <v>1228</v>
      </c>
      <c r="N205" t="s">
        <v>755</v>
      </c>
      <c r="O205" t="s">
        <v>12</v>
      </c>
      <c r="Q205" t="s">
        <v>12</v>
      </c>
    </row>
    <row r="206" spans="1:19" x14ac:dyDescent="0.25">
      <c r="A206" t="s">
        <v>750</v>
      </c>
      <c r="B206" t="s">
        <v>10</v>
      </c>
      <c r="F206" t="s">
        <v>1717</v>
      </c>
      <c r="G206" t="s">
        <v>12</v>
      </c>
      <c r="H206" s="2">
        <v>0.315</v>
      </c>
      <c r="I206" s="2">
        <v>0.63</v>
      </c>
      <c r="J206">
        <v>1.71</v>
      </c>
      <c r="K206">
        <v>2.13</v>
      </c>
      <c r="L206">
        <v>2.57</v>
      </c>
      <c r="M206" t="s">
        <v>1228</v>
      </c>
      <c r="N206" t="s">
        <v>755</v>
      </c>
      <c r="O206" t="s">
        <v>12</v>
      </c>
      <c r="Q206" t="s">
        <v>12</v>
      </c>
    </row>
    <row r="207" spans="1:19" x14ac:dyDescent="0.25">
      <c r="A207" t="s">
        <v>774</v>
      </c>
      <c r="B207" t="s">
        <v>10</v>
      </c>
      <c r="F207" t="s">
        <v>1138</v>
      </c>
      <c r="G207" t="s">
        <v>12</v>
      </c>
      <c r="H207" t="s">
        <v>1139</v>
      </c>
      <c r="I207">
        <v>3.3680679769999999</v>
      </c>
      <c r="J207">
        <v>12.4</v>
      </c>
      <c r="K207">
        <v>18.600000000000001</v>
      </c>
      <c r="L207">
        <v>24</v>
      </c>
      <c r="M207" t="s">
        <v>1293</v>
      </c>
      <c r="N207" t="s">
        <v>1730</v>
      </c>
      <c r="O207" t="s">
        <v>12</v>
      </c>
      <c r="Q207" t="s">
        <v>12</v>
      </c>
    </row>
    <row r="208" spans="1:19" x14ac:dyDescent="0.25">
      <c r="A208" t="s">
        <v>774</v>
      </c>
      <c r="B208" t="s">
        <v>10</v>
      </c>
      <c r="F208" t="s">
        <v>1733</v>
      </c>
      <c r="G208" t="s">
        <v>12</v>
      </c>
      <c r="H208" t="s">
        <v>1145</v>
      </c>
      <c r="I208">
        <v>0.58569793800000003</v>
      </c>
      <c r="J208">
        <v>3.73</v>
      </c>
      <c r="K208">
        <v>4.93</v>
      </c>
      <c r="L208">
        <v>6.05</v>
      </c>
      <c r="M208" t="s">
        <v>1296</v>
      </c>
      <c r="N208" t="s">
        <v>783</v>
      </c>
      <c r="O208" t="s">
        <v>12</v>
      </c>
      <c r="Q208" t="s">
        <v>12</v>
      </c>
    </row>
    <row r="209" spans="1:17" x14ac:dyDescent="0.25">
      <c r="A209" t="s">
        <v>774</v>
      </c>
      <c r="B209" t="s">
        <v>10</v>
      </c>
      <c r="F209" t="s">
        <v>1737</v>
      </c>
      <c r="G209" t="s">
        <v>12</v>
      </c>
      <c r="H209" t="s">
        <v>1155</v>
      </c>
      <c r="I209">
        <v>1.729229549</v>
      </c>
      <c r="J209">
        <v>1.27</v>
      </c>
      <c r="K209">
        <v>5.21</v>
      </c>
      <c r="L209">
        <v>7.65</v>
      </c>
      <c r="M209" t="s">
        <v>1301</v>
      </c>
      <c r="N209" t="s">
        <v>1736</v>
      </c>
      <c r="O209" t="s">
        <v>12</v>
      </c>
      <c r="Q209" t="s">
        <v>12</v>
      </c>
    </row>
    <row r="210" spans="1:17" x14ac:dyDescent="0.25">
      <c r="A210" t="s">
        <v>774</v>
      </c>
      <c r="B210" t="s">
        <v>10</v>
      </c>
      <c r="F210" t="s">
        <v>1734</v>
      </c>
      <c r="G210" t="s">
        <v>12</v>
      </c>
      <c r="H210" t="s">
        <v>1157</v>
      </c>
      <c r="I210">
        <v>1.055966894</v>
      </c>
      <c r="J210">
        <v>5.4</v>
      </c>
      <c r="K210">
        <v>6.45</v>
      </c>
      <c r="L210">
        <v>7.65</v>
      </c>
      <c r="M210" t="s">
        <v>1302</v>
      </c>
      <c r="N210" t="s">
        <v>800</v>
      </c>
      <c r="O210" t="s">
        <v>12</v>
      </c>
      <c r="Q210" t="s">
        <v>12</v>
      </c>
    </row>
    <row r="211" spans="1:17" x14ac:dyDescent="0.25">
      <c r="A211" t="s">
        <v>774</v>
      </c>
      <c r="B211" t="s">
        <v>10</v>
      </c>
      <c r="F211" t="s">
        <v>793</v>
      </c>
      <c r="G211" t="s">
        <v>12</v>
      </c>
      <c r="H211" t="s">
        <v>1159</v>
      </c>
      <c r="I211">
        <v>0.49567073499999997</v>
      </c>
      <c r="J211">
        <v>1.5</v>
      </c>
      <c r="K211">
        <v>2.75</v>
      </c>
      <c r="L211">
        <v>3.68</v>
      </c>
      <c r="M211" t="s">
        <v>1303</v>
      </c>
      <c r="N211" t="s">
        <v>794</v>
      </c>
      <c r="O211" t="s">
        <v>12</v>
      </c>
      <c r="Q211" t="s">
        <v>12</v>
      </c>
    </row>
    <row r="212" spans="1:17" x14ac:dyDescent="0.25">
      <c r="A212" t="s">
        <v>774</v>
      </c>
      <c r="B212" t="s">
        <v>10</v>
      </c>
      <c r="F212" t="s">
        <v>1735</v>
      </c>
      <c r="G212" t="s">
        <v>12</v>
      </c>
      <c r="H212" t="s">
        <v>1167</v>
      </c>
      <c r="I212">
        <v>0.63342547500000002</v>
      </c>
      <c r="J212">
        <f>J211+0.41</f>
        <v>1.91</v>
      </c>
      <c r="K212">
        <f>K211+0.72</f>
        <v>3.4699999999999998</v>
      </c>
      <c r="L212">
        <f>L211+0.95</f>
        <v>4.63</v>
      </c>
      <c r="M212" t="s">
        <v>1307</v>
      </c>
      <c r="N212" t="s">
        <v>794</v>
      </c>
      <c r="O212" t="s">
        <v>12</v>
      </c>
      <c r="Q212" t="s">
        <v>12</v>
      </c>
    </row>
    <row r="213" spans="1:17" x14ac:dyDescent="0.25">
      <c r="A213" t="s">
        <v>774</v>
      </c>
      <c r="B213" t="s">
        <v>10</v>
      </c>
      <c r="F213" t="s">
        <v>810</v>
      </c>
      <c r="G213" t="s">
        <v>12</v>
      </c>
      <c r="H213" t="s">
        <v>1161</v>
      </c>
      <c r="I213">
        <v>1.2502038369999999</v>
      </c>
      <c r="J213">
        <v>4.8499999999999996</v>
      </c>
      <c r="K213">
        <v>6.4</v>
      </c>
      <c r="L213">
        <v>7.85</v>
      </c>
      <c r="M213" t="s">
        <v>1304</v>
      </c>
      <c r="N213" t="s">
        <v>811</v>
      </c>
      <c r="O213" t="s">
        <v>12</v>
      </c>
      <c r="Q213" t="s">
        <v>12</v>
      </c>
    </row>
    <row r="214" spans="1:17" x14ac:dyDescent="0.25">
      <c r="A214" t="s">
        <v>774</v>
      </c>
      <c r="B214" t="s">
        <v>10</v>
      </c>
      <c r="F214" t="s">
        <v>1731</v>
      </c>
      <c r="G214" t="s">
        <v>12</v>
      </c>
      <c r="H214" t="s">
        <v>1163</v>
      </c>
      <c r="I214">
        <v>0.91943923299999997</v>
      </c>
      <c r="J214">
        <v>0.46</v>
      </c>
      <c r="K214">
        <v>4.4000000000000004</v>
      </c>
      <c r="L214">
        <v>6.8</v>
      </c>
      <c r="M214" t="s">
        <v>1305</v>
      </c>
      <c r="N214" t="s">
        <v>815</v>
      </c>
      <c r="O214" t="s">
        <v>12</v>
      </c>
      <c r="Q214" t="s">
        <v>12</v>
      </c>
    </row>
    <row r="215" spans="1:17" x14ac:dyDescent="0.25">
      <c r="A215" t="s">
        <v>774</v>
      </c>
      <c r="B215" t="s">
        <v>10</v>
      </c>
      <c r="F215" t="s">
        <v>1732</v>
      </c>
      <c r="G215" t="s">
        <v>12</v>
      </c>
      <c r="H215" t="s">
        <v>1171</v>
      </c>
      <c r="I215">
        <v>1.185756249</v>
      </c>
      <c r="J215">
        <v>1.71</v>
      </c>
      <c r="K215">
        <v>5.65</v>
      </c>
      <c r="L215">
        <v>8.15</v>
      </c>
      <c r="M215" t="s">
        <v>1309</v>
      </c>
      <c r="N215" t="s">
        <v>815</v>
      </c>
      <c r="O215" t="s">
        <v>12</v>
      </c>
      <c r="Q215" t="s">
        <v>12</v>
      </c>
    </row>
    <row r="216" spans="1:17" x14ac:dyDescent="0.25">
      <c r="A216" t="s">
        <v>818</v>
      </c>
      <c r="B216" t="s">
        <v>10</v>
      </c>
      <c r="F216" t="s">
        <v>1718</v>
      </c>
      <c r="G216" t="s">
        <v>12</v>
      </c>
      <c r="H216" s="2">
        <v>0.315</v>
      </c>
      <c r="I216" s="2">
        <v>0.315</v>
      </c>
      <c r="J216">
        <v>1.08</v>
      </c>
      <c r="K216">
        <v>1.6</v>
      </c>
      <c r="L216">
        <v>2.0299999999999998</v>
      </c>
      <c r="M216" t="s">
        <v>1228</v>
      </c>
      <c r="N216" t="s">
        <v>755</v>
      </c>
      <c r="O216" t="s">
        <v>12</v>
      </c>
      <c r="Q216" t="s">
        <v>12</v>
      </c>
    </row>
    <row r="217" spans="1:17" x14ac:dyDescent="0.25">
      <c r="A217" t="s">
        <v>818</v>
      </c>
      <c r="B217" t="s">
        <v>10</v>
      </c>
      <c r="F217" t="s">
        <v>1719</v>
      </c>
      <c r="G217" t="s">
        <v>12</v>
      </c>
      <c r="H217" s="2">
        <v>0.315</v>
      </c>
      <c r="I217" s="2">
        <v>0.42</v>
      </c>
      <c r="J217">
        <v>1.1599999999999999</v>
      </c>
      <c r="K217">
        <v>1.71</v>
      </c>
      <c r="L217">
        <v>2.17</v>
      </c>
      <c r="M217" t="s">
        <v>1228</v>
      </c>
      <c r="N217" t="s">
        <v>755</v>
      </c>
      <c r="O217" t="s">
        <v>12</v>
      </c>
      <c r="Q217" t="s">
        <v>12</v>
      </c>
    </row>
    <row r="218" spans="1:17" x14ac:dyDescent="0.25">
      <c r="A218" t="s">
        <v>818</v>
      </c>
      <c r="B218" t="s">
        <v>10</v>
      </c>
      <c r="F218" t="s">
        <v>1720</v>
      </c>
      <c r="G218" t="s">
        <v>12</v>
      </c>
      <c r="H218" s="2">
        <v>0.315</v>
      </c>
      <c r="I218" s="2">
        <v>0.52500000000000002</v>
      </c>
      <c r="J218">
        <v>1.37</v>
      </c>
      <c r="K218">
        <v>1.84</v>
      </c>
      <c r="L218">
        <v>2.2799999999999998</v>
      </c>
      <c r="M218" t="s">
        <v>1228</v>
      </c>
      <c r="N218" t="s">
        <v>755</v>
      </c>
      <c r="O218" t="s">
        <v>12</v>
      </c>
      <c r="Q218" t="s">
        <v>12</v>
      </c>
    </row>
    <row r="219" spans="1:17" x14ac:dyDescent="0.25">
      <c r="A219" t="s">
        <v>818</v>
      </c>
      <c r="B219" t="s">
        <v>10</v>
      </c>
      <c r="F219" t="s">
        <v>1721</v>
      </c>
      <c r="G219" t="s">
        <v>12</v>
      </c>
      <c r="H219" s="2">
        <v>0.315</v>
      </c>
      <c r="I219" s="2">
        <v>0.63</v>
      </c>
      <c r="J219">
        <v>1.71</v>
      </c>
      <c r="K219">
        <v>2.2200000000000002</v>
      </c>
      <c r="L219">
        <v>2.71</v>
      </c>
      <c r="M219" t="s">
        <v>1228</v>
      </c>
      <c r="N219" t="s">
        <v>755</v>
      </c>
      <c r="O219" t="s">
        <v>12</v>
      </c>
      <c r="Q219" t="s">
        <v>12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23DF7-8824-47EF-81D7-78EB44C59BE6}">
  <dimension ref="A1:D4"/>
  <sheetViews>
    <sheetView workbookViewId="0">
      <selection activeCell="C5" sqref="C5"/>
    </sheetView>
  </sheetViews>
  <sheetFormatPr defaultRowHeight="15.75" x14ac:dyDescent="0.25"/>
  <cols>
    <col min="2" max="3" width="23.5" customWidth="1"/>
  </cols>
  <sheetData>
    <row r="1" spans="1:4" x14ac:dyDescent="0.25">
      <c r="A1" t="s">
        <v>1760</v>
      </c>
      <c r="B1" t="s">
        <v>1774</v>
      </c>
      <c r="C1" t="s">
        <v>1</v>
      </c>
      <c r="D1" t="s">
        <v>1761</v>
      </c>
    </row>
    <row r="2" spans="1:4" x14ac:dyDescent="0.25">
      <c r="A2" t="s">
        <v>1773</v>
      </c>
      <c r="B2" t="s">
        <v>1762</v>
      </c>
      <c r="C2" t="s">
        <v>1793</v>
      </c>
      <c r="D2">
        <v>1</v>
      </c>
    </row>
    <row r="3" spans="1:4" x14ac:dyDescent="0.25">
      <c r="A3" t="s">
        <v>1773</v>
      </c>
      <c r="B3" t="s">
        <v>1763</v>
      </c>
      <c r="C3" t="s">
        <v>1794</v>
      </c>
      <c r="D3">
        <v>1</v>
      </c>
    </row>
    <row r="4" spans="1:4" x14ac:dyDescent="0.25">
      <c r="A4" t="s">
        <v>1773</v>
      </c>
      <c r="B4" t="s">
        <v>1763</v>
      </c>
      <c r="C4" t="s">
        <v>1795</v>
      </c>
      <c r="D4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C1A9E-6FD9-4DE2-9760-917D84C43308}">
  <dimension ref="A1:B29"/>
  <sheetViews>
    <sheetView workbookViewId="0">
      <selection activeCell="B2" sqref="B2:B29"/>
    </sheetView>
  </sheetViews>
  <sheetFormatPr defaultRowHeight="15.75" x14ac:dyDescent="0.25"/>
  <sheetData>
    <row r="1" spans="1:2" x14ac:dyDescent="0.25">
      <c r="A1" t="s">
        <v>1</v>
      </c>
      <c r="B1" t="s">
        <v>1764</v>
      </c>
    </row>
    <row r="2" spans="1:2" x14ac:dyDescent="0.25">
      <c r="A2" t="s">
        <v>1762</v>
      </c>
      <c r="B2" t="s">
        <v>1765</v>
      </c>
    </row>
    <row r="3" spans="1:2" x14ac:dyDescent="0.25">
      <c r="A3" t="s">
        <v>1762</v>
      </c>
      <c r="B3" t="s">
        <v>1766</v>
      </c>
    </row>
    <row r="4" spans="1:2" x14ac:dyDescent="0.25">
      <c r="A4" t="s">
        <v>1762</v>
      </c>
      <c r="B4" t="s">
        <v>1769</v>
      </c>
    </row>
    <row r="5" spans="1:2" x14ac:dyDescent="0.25">
      <c r="A5" t="s">
        <v>1762</v>
      </c>
      <c r="B5" t="s">
        <v>1770</v>
      </c>
    </row>
    <row r="6" spans="1:2" x14ac:dyDescent="0.25">
      <c r="A6" t="s">
        <v>1763</v>
      </c>
      <c r="B6" t="s">
        <v>1771</v>
      </c>
    </row>
    <row r="7" spans="1:2" x14ac:dyDescent="0.25">
      <c r="A7" t="s">
        <v>1763</v>
      </c>
      <c r="B7" t="s">
        <v>1772</v>
      </c>
    </row>
    <row r="8" spans="1:2" x14ac:dyDescent="0.25">
      <c r="A8" t="s">
        <v>1763</v>
      </c>
      <c r="B8" t="s">
        <v>1767</v>
      </c>
    </row>
    <row r="9" spans="1:2" x14ac:dyDescent="0.25">
      <c r="A9" t="s">
        <v>1763</v>
      </c>
      <c r="B9" t="s">
        <v>1768</v>
      </c>
    </row>
    <row r="10" spans="1:2" x14ac:dyDescent="0.25">
      <c r="A10" t="s">
        <v>1775</v>
      </c>
      <c r="B10" t="s">
        <v>1765</v>
      </c>
    </row>
    <row r="11" spans="1:2" x14ac:dyDescent="0.25">
      <c r="A11" t="s">
        <v>1776</v>
      </c>
      <c r="B11" t="s">
        <v>1766</v>
      </c>
    </row>
    <row r="12" spans="1:2" x14ac:dyDescent="0.25">
      <c r="A12" t="s">
        <v>1777</v>
      </c>
      <c r="B12" t="s">
        <v>1769</v>
      </c>
    </row>
    <row r="13" spans="1:2" x14ac:dyDescent="0.25">
      <c r="A13" t="s">
        <v>1778</v>
      </c>
      <c r="B13" t="s">
        <v>1770</v>
      </c>
    </row>
    <row r="14" spans="1:2" x14ac:dyDescent="0.25">
      <c r="A14" t="s">
        <v>1779</v>
      </c>
      <c r="B14" t="s">
        <v>1771</v>
      </c>
    </row>
    <row r="15" spans="1:2" x14ac:dyDescent="0.25">
      <c r="A15" t="s">
        <v>1780</v>
      </c>
      <c r="B15" t="s">
        <v>1772</v>
      </c>
    </row>
    <row r="16" spans="1:2" x14ac:dyDescent="0.25">
      <c r="A16" t="s">
        <v>1781</v>
      </c>
      <c r="B16" t="s">
        <v>1767</v>
      </c>
    </row>
    <row r="17" spans="1:2" x14ac:dyDescent="0.25">
      <c r="A17" t="s">
        <v>1782</v>
      </c>
      <c r="B17" t="s">
        <v>1768</v>
      </c>
    </row>
    <row r="18" spans="1:2" x14ac:dyDescent="0.25">
      <c r="A18" t="s">
        <v>1783</v>
      </c>
      <c r="B18" t="s">
        <v>1765</v>
      </c>
    </row>
    <row r="19" spans="1:2" x14ac:dyDescent="0.25">
      <c r="A19" t="s">
        <v>1784</v>
      </c>
      <c r="B19" t="s">
        <v>1766</v>
      </c>
    </row>
    <row r="20" spans="1:2" x14ac:dyDescent="0.25">
      <c r="A20" t="s">
        <v>897</v>
      </c>
      <c r="B20" t="s">
        <v>1769</v>
      </c>
    </row>
    <row r="21" spans="1:2" x14ac:dyDescent="0.25">
      <c r="A21" t="s">
        <v>1761</v>
      </c>
      <c r="B21" t="s">
        <v>1770</v>
      </c>
    </row>
    <row r="22" spans="1:2" x14ac:dyDescent="0.25">
      <c r="A22" t="s">
        <v>1785</v>
      </c>
      <c r="B22" t="s">
        <v>1771</v>
      </c>
    </row>
    <row r="23" spans="1:2" x14ac:dyDescent="0.25">
      <c r="A23" t="s">
        <v>1786</v>
      </c>
      <c r="B23" t="s">
        <v>1772</v>
      </c>
    </row>
    <row r="24" spans="1:2" x14ac:dyDescent="0.25">
      <c r="A24" t="s">
        <v>1787</v>
      </c>
      <c r="B24" t="s">
        <v>1767</v>
      </c>
    </row>
    <row r="25" spans="1:2" x14ac:dyDescent="0.25">
      <c r="A25" t="s">
        <v>1788</v>
      </c>
      <c r="B25" t="s">
        <v>1768</v>
      </c>
    </row>
    <row r="26" spans="1:2" x14ac:dyDescent="0.25">
      <c r="A26" t="s">
        <v>1789</v>
      </c>
      <c r="B26" t="s">
        <v>1765</v>
      </c>
    </row>
    <row r="27" spans="1:2" x14ac:dyDescent="0.25">
      <c r="A27" t="s">
        <v>1790</v>
      </c>
      <c r="B27" t="s">
        <v>1766</v>
      </c>
    </row>
    <row r="28" spans="1:2" x14ac:dyDescent="0.25">
      <c r="A28" t="s">
        <v>1791</v>
      </c>
      <c r="B28" t="s">
        <v>1769</v>
      </c>
    </row>
    <row r="29" spans="1:2" x14ac:dyDescent="0.25">
      <c r="A29" t="s">
        <v>1792</v>
      </c>
      <c r="B29" t="s">
        <v>1770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53FF9-DA34-424A-8D40-CFFBE1264805}">
  <dimension ref="A1:H334"/>
  <sheetViews>
    <sheetView workbookViewId="0">
      <pane ySplit="1" topLeftCell="A26" activePane="bottomLeft" state="frozen"/>
      <selection pane="bottomLeft" activeCell="G37" sqref="G37"/>
    </sheetView>
  </sheetViews>
  <sheetFormatPr defaultRowHeight="15.75" x14ac:dyDescent="0.25"/>
  <cols>
    <col min="1" max="1" width="34" bestFit="1" customWidth="1"/>
    <col min="3" max="3" width="37.75" bestFit="1" customWidth="1"/>
    <col min="6" max="6" width="66.875" bestFit="1" customWidth="1"/>
  </cols>
  <sheetData>
    <row r="1" spans="1:8" x14ac:dyDescent="0.25">
      <c r="A1" t="s">
        <v>1</v>
      </c>
      <c r="B1" t="s">
        <v>0</v>
      </c>
      <c r="C1" t="s">
        <v>2</v>
      </c>
      <c r="D1" t="s">
        <v>3</v>
      </c>
      <c r="E1" t="s">
        <v>4</v>
      </c>
      <c r="F1" t="s">
        <v>1399</v>
      </c>
      <c r="G1" t="s">
        <v>1400</v>
      </c>
      <c r="H1" t="s">
        <v>1401</v>
      </c>
    </row>
    <row r="2" spans="1:8" x14ac:dyDescent="0.25">
      <c r="A2" t="s">
        <v>9</v>
      </c>
      <c r="B2" t="s">
        <v>10</v>
      </c>
      <c r="C2" t="s">
        <v>11</v>
      </c>
      <c r="D2" t="s">
        <v>12</v>
      </c>
      <c r="E2" t="s">
        <v>1402</v>
      </c>
      <c r="F2" t="s">
        <v>1403</v>
      </c>
      <c r="G2" t="s">
        <v>1404</v>
      </c>
    </row>
    <row r="3" spans="1:8" x14ac:dyDescent="0.25">
      <c r="A3" t="s">
        <v>9</v>
      </c>
      <c r="B3" t="s">
        <v>10</v>
      </c>
      <c r="C3" t="s">
        <v>17</v>
      </c>
      <c r="D3" t="s">
        <v>12</v>
      </c>
      <c r="E3" t="s">
        <v>1405</v>
      </c>
      <c r="F3" t="s">
        <v>1403</v>
      </c>
      <c r="G3" t="s">
        <v>1404</v>
      </c>
    </row>
    <row r="4" spans="1:8" x14ac:dyDescent="0.25">
      <c r="A4" t="s">
        <v>9</v>
      </c>
      <c r="B4" t="s">
        <v>10</v>
      </c>
      <c r="C4" t="s">
        <v>21</v>
      </c>
      <c r="D4" t="s">
        <v>12</v>
      </c>
      <c r="E4" t="s">
        <v>1406</v>
      </c>
      <c r="F4" t="s">
        <v>1403</v>
      </c>
      <c r="G4" t="s">
        <v>1404</v>
      </c>
    </row>
    <row r="5" spans="1:8" x14ac:dyDescent="0.25">
      <c r="A5" t="s">
        <v>9</v>
      </c>
      <c r="B5" t="s">
        <v>10</v>
      </c>
      <c r="C5" t="s">
        <v>25</v>
      </c>
      <c r="D5" t="s">
        <v>12</v>
      </c>
      <c r="E5" t="s">
        <v>525</v>
      </c>
      <c r="F5" t="s">
        <v>1403</v>
      </c>
      <c r="G5" t="s">
        <v>1404</v>
      </c>
    </row>
    <row r="6" spans="1:8" x14ac:dyDescent="0.25">
      <c r="A6" t="s">
        <v>9</v>
      </c>
      <c r="B6" t="s">
        <v>10</v>
      </c>
      <c r="C6" t="s">
        <v>11</v>
      </c>
      <c r="D6" t="s">
        <v>12</v>
      </c>
      <c r="E6" t="s">
        <v>282</v>
      </c>
      <c r="F6" t="s">
        <v>1403</v>
      </c>
      <c r="G6" t="s">
        <v>1404</v>
      </c>
    </row>
    <row r="7" spans="1:8" x14ac:dyDescent="0.25">
      <c r="A7" t="s">
        <v>9</v>
      </c>
      <c r="B7" t="s">
        <v>10</v>
      </c>
      <c r="C7" t="s">
        <v>17</v>
      </c>
      <c r="D7" t="s">
        <v>12</v>
      </c>
      <c r="E7" t="s">
        <v>1407</v>
      </c>
      <c r="F7" t="s">
        <v>1403</v>
      </c>
      <c r="G7" t="s">
        <v>1404</v>
      </c>
    </row>
    <row r="8" spans="1:8" x14ac:dyDescent="0.25">
      <c r="A8" t="s">
        <v>9</v>
      </c>
      <c r="B8" t="s">
        <v>10</v>
      </c>
      <c r="C8" t="s">
        <v>21</v>
      </c>
      <c r="D8" t="s">
        <v>12</v>
      </c>
      <c r="E8" t="s">
        <v>826</v>
      </c>
      <c r="F8" t="s">
        <v>1403</v>
      </c>
      <c r="G8" t="s">
        <v>1404</v>
      </c>
    </row>
    <row r="9" spans="1:8" x14ac:dyDescent="0.25">
      <c r="A9" t="s">
        <v>9</v>
      </c>
      <c r="B9" t="s">
        <v>10</v>
      </c>
      <c r="C9" t="s">
        <v>25</v>
      </c>
      <c r="D9" t="s">
        <v>12</v>
      </c>
      <c r="E9" t="s">
        <v>771</v>
      </c>
      <c r="F9" t="s">
        <v>1403</v>
      </c>
      <c r="G9" t="s">
        <v>1404</v>
      </c>
    </row>
    <row r="10" spans="1:8" x14ac:dyDescent="0.25">
      <c r="A10" t="s">
        <v>9</v>
      </c>
      <c r="B10" t="s">
        <v>10</v>
      </c>
      <c r="C10" t="s">
        <v>29</v>
      </c>
      <c r="D10" t="s">
        <v>12</v>
      </c>
      <c r="E10" t="s">
        <v>210</v>
      </c>
      <c r="F10" t="s">
        <v>1408</v>
      </c>
      <c r="G10" t="s">
        <v>1409</v>
      </c>
    </row>
    <row r="11" spans="1:8" x14ac:dyDescent="0.25">
      <c r="A11" t="s">
        <v>9</v>
      </c>
      <c r="B11" t="s">
        <v>10</v>
      </c>
      <c r="C11" t="s">
        <v>29</v>
      </c>
      <c r="D11" t="s">
        <v>12</v>
      </c>
      <c r="E11" t="s">
        <v>680</v>
      </c>
      <c r="F11" t="s">
        <v>1408</v>
      </c>
      <c r="G11" t="s">
        <v>1409</v>
      </c>
    </row>
    <row r="12" spans="1:8" x14ac:dyDescent="0.25">
      <c r="A12" t="s">
        <v>9</v>
      </c>
      <c r="B12" t="s">
        <v>10</v>
      </c>
      <c r="C12" t="s">
        <v>34</v>
      </c>
      <c r="D12" t="s">
        <v>12</v>
      </c>
      <c r="E12" t="s">
        <v>819</v>
      </c>
      <c r="F12" t="s">
        <v>1408</v>
      </c>
      <c r="G12" t="s">
        <v>1409</v>
      </c>
    </row>
    <row r="13" spans="1:8" x14ac:dyDescent="0.25">
      <c r="A13" t="s">
        <v>9</v>
      </c>
      <c r="B13" t="s">
        <v>10</v>
      </c>
      <c r="C13" t="s">
        <v>34</v>
      </c>
      <c r="D13" t="s">
        <v>12</v>
      </c>
      <c r="E13" t="s">
        <v>1410</v>
      </c>
      <c r="F13" t="s">
        <v>1408</v>
      </c>
      <c r="G13" t="s">
        <v>1409</v>
      </c>
    </row>
    <row r="14" spans="1:8" x14ac:dyDescent="0.25">
      <c r="A14" t="s">
        <v>9</v>
      </c>
      <c r="B14" t="s">
        <v>10</v>
      </c>
      <c r="C14" t="s">
        <v>38</v>
      </c>
      <c r="D14" t="s">
        <v>12</v>
      </c>
      <c r="E14" t="s">
        <v>49</v>
      </c>
      <c r="F14" t="s">
        <v>1408</v>
      </c>
      <c r="G14" t="s">
        <v>1409</v>
      </c>
    </row>
    <row r="15" spans="1:8" x14ac:dyDescent="0.25">
      <c r="A15" t="s">
        <v>9</v>
      </c>
      <c r="B15" t="s">
        <v>10</v>
      </c>
      <c r="C15" t="s">
        <v>42</v>
      </c>
      <c r="D15" t="s">
        <v>12</v>
      </c>
      <c r="E15" t="s">
        <v>1411</v>
      </c>
      <c r="F15" t="s">
        <v>1408</v>
      </c>
      <c r="G15" t="s">
        <v>1409</v>
      </c>
    </row>
    <row r="16" spans="1:8" x14ac:dyDescent="0.25">
      <c r="A16" t="s">
        <v>9</v>
      </c>
      <c r="B16" t="s">
        <v>10</v>
      </c>
      <c r="C16" t="s">
        <v>42</v>
      </c>
      <c r="D16" t="s">
        <v>12</v>
      </c>
      <c r="E16" t="s">
        <v>1412</v>
      </c>
      <c r="F16" t="s">
        <v>1408</v>
      </c>
      <c r="G16" t="s">
        <v>1409</v>
      </c>
    </row>
    <row r="17" spans="1:7" x14ac:dyDescent="0.25">
      <c r="A17" t="s">
        <v>9</v>
      </c>
      <c r="B17" t="s">
        <v>10</v>
      </c>
      <c r="C17" t="s">
        <v>46</v>
      </c>
      <c r="D17" t="s">
        <v>12</v>
      </c>
      <c r="E17" t="s">
        <v>63</v>
      </c>
      <c r="F17" t="s">
        <v>1408</v>
      </c>
      <c r="G17" t="s">
        <v>1409</v>
      </c>
    </row>
    <row r="18" spans="1:7" x14ac:dyDescent="0.25">
      <c r="A18" t="s">
        <v>9</v>
      </c>
      <c r="B18" t="s">
        <v>10</v>
      </c>
      <c r="C18" t="s">
        <v>50</v>
      </c>
      <c r="D18" t="s">
        <v>12</v>
      </c>
      <c r="E18" t="s">
        <v>55</v>
      </c>
      <c r="F18" t="s">
        <v>1408</v>
      </c>
      <c r="G18" t="s">
        <v>1409</v>
      </c>
    </row>
    <row r="19" spans="1:7" x14ac:dyDescent="0.25">
      <c r="A19" t="s">
        <v>9</v>
      </c>
      <c r="B19" t="s">
        <v>10</v>
      </c>
      <c r="C19" t="s">
        <v>54</v>
      </c>
      <c r="D19" t="s">
        <v>12</v>
      </c>
      <c r="E19" t="s">
        <v>206</v>
      </c>
      <c r="F19" t="s">
        <v>1408</v>
      </c>
      <c r="G19" t="s">
        <v>1409</v>
      </c>
    </row>
    <row r="20" spans="1:7" x14ac:dyDescent="0.25">
      <c r="A20" t="s">
        <v>9</v>
      </c>
      <c r="B20" t="s">
        <v>10</v>
      </c>
      <c r="C20" t="s">
        <v>58</v>
      </c>
      <c r="D20" t="s">
        <v>12</v>
      </c>
      <c r="E20" t="s">
        <v>48</v>
      </c>
      <c r="F20" t="s">
        <v>1408</v>
      </c>
      <c r="G20" t="s">
        <v>1409</v>
      </c>
    </row>
    <row r="21" spans="1:7" x14ac:dyDescent="0.25">
      <c r="A21" t="s">
        <v>9</v>
      </c>
      <c r="B21" t="s">
        <v>10</v>
      </c>
      <c r="C21" t="s">
        <v>876</v>
      </c>
      <c r="D21" t="s">
        <v>12</v>
      </c>
      <c r="E21" t="s">
        <v>1413</v>
      </c>
      <c r="F21" t="s">
        <v>1408</v>
      </c>
      <c r="G21" t="s">
        <v>1409</v>
      </c>
    </row>
    <row r="22" spans="1:7" x14ac:dyDescent="0.25">
      <c r="A22" t="s">
        <v>9</v>
      </c>
      <c r="B22" t="s">
        <v>10</v>
      </c>
      <c r="C22" t="s">
        <v>878</v>
      </c>
      <c r="D22" t="s">
        <v>12</v>
      </c>
      <c r="E22" t="s">
        <v>764</v>
      </c>
      <c r="F22" t="s">
        <v>1408</v>
      </c>
      <c r="G22" t="s">
        <v>1409</v>
      </c>
    </row>
    <row r="23" spans="1:7" x14ac:dyDescent="0.25">
      <c r="A23" t="s">
        <v>9</v>
      </c>
      <c r="B23" t="s">
        <v>10</v>
      </c>
      <c r="C23" t="s">
        <v>880</v>
      </c>
      <c r="D23" t="s">
        <v>12</v>
      </c>
      <c r="E23" t="s">
        <v>1414</v>
      </c>
      <c r="F23" t="s">
        <v>1408</v>
      </c>
      <c r="G23" t="s">
        <v>1409</v>
      </c>
    </row>
    <row r="24" spans="1:7" x14ac:dyDescent="0.25">
      <c r="A24" t="s">
        <v>9</v>
      </c>
      <c r="B24" t="s">
        <v>10</v>
      </c>
      <c r="C24" t="s">
        <v>882</v>
      </c>
      <c r="D24" t="s">
        <v>12</v>
      </c>
      <c r="E24" t="s">
        <v>1415</v>
      </c>
      <c r="F24" t="s">
        <v>1408</v>
      </c>
      <c r="G24" t="s">
        <v>1409</v>
      </c>
    </row>
    <row r="25" spans="1:7" x14ac:dyDescent="0.25">
      <c r="A25" t="s">
        <v>9</v>
      </c>
      <c r="B25" t="s">
        <v>10</v>
      </c>
      <c r="C25" t="s">
        <v>884</v>
      </c>
      <c r="D25" t="s">
        <v>12</v>
      </c>
      <c r="E25" t="s">
        <v>725</v>
      </c>
      <c r="F25" t="s">
        <v>1416</v>
      </c>
      <c r="G25" t="s">
        <v>1417</v>
      </c>
    </row>
    <row r="26" spans="1:7" x14ac:dyDescent="0.25">
      <c r="A26" t="s">
        <v>9</v>
      </c>
      <c r="B26" t="s">
        <v>10</v>
      </c>
      <c r="C26" t="s">
        <v>891</v>
      </c>
      <c r="D26" t="s">
        <v>12</v>
      </c>
      <c r="E26" t="s">
        <v>905</v>
      </c>
      <c r="F26" t="s">
        <v>1416</v>
      </c>
      <c r="G26" t="s">
        <v>1417</v>
      </c>
    </row>
    <row r="27" spans="1:7" x14ac:dyDescent="0.25">
      <c r="A27" t="s">
        <v>9</v>
      </c>
      <c r="B27" t="s">
        <v>10</v>
      </c>
      <c r="C27" t="s">
        <v>70</v>
      </c>
      <c r="D27" t="s">
        <v>12</v>
      </c>
      <c r="E27" t="s">
        <v>1418</v>
      </c>
      <c r="F27" t="s">
        <v>1419</v>
      </c>
      <c r="G27" t="s">
        <v>1420</v>
      </c>
    </row>
    <row r="28" spans="1:7" x14ac:dyDescent="0.25">
      <c r="A28" t="s">
        <v>75</v>
      </c>
      <c r="B28" t="s">
        <v>10</v>
      </c>
      <c r="C28" t="s">
        <v>904</v>
      </c>
      <c r="D28" t="s">
        <v>77</v>
      </c>
      <c r="E28" t="s">
        <v>527</v>
      </c>
      <c r="F28" t="s">
        <v>1421</v>
      </c>
      <c r="G28" t="s">
        <v>1422</v>
      </c>
    </row>
    <row r="29" spans="1:7" x14ac:dyDescent="0.25">
      <c r="A29" t="s">
        <v>75</v>
      </c>
      <c r="B29" t="s">
        <v>10</v>
      </c>
      <c r="C29" t="s">
        <v>904</v>
      </c>
      <c r="D29" t="s">
        <v>77</v>
      </c>
      <c r="E29" t="s">
        <v>279</v>
      </c>
      <c r="F29" t="s">
        <v>1421</v>
      </c>
      <c r="G29" t="s">
        <v>1422</v>
      </c>
    </row>
    <row r="30" spans="1:7" x14ac:dyDescent="0.25">
      <c r="A30" t="s">
        <v>75</v>
      </c>
      <c r="B30" t="s">
        <v>10</v>
      </c>
      <c r="C30" t="s">
        <v>904</v>
      </c>
      <c r="D30" t="s">
        <v>77</v>
      </c>
      <c r="E30" t="s">
        <v>527</v>
      </c>
      <c r="F30" t="s">
        <v>1421</v>
      </c>
      <c r="G30" t="s">
        <v>1422</v>
      </c>
    </row>
    <row r="31" spans="1:7" x14ac:dyDescent="0.25">
      <c r="A31" t="s">
        <v>75</v>
      </c>
      <c r="B31" t="s">
        <v>10</v>
      </c>
      <c r="C31" t="s">
        <v>915</v>
      </c>
      <c r="D31" t="s">
        <v>77</v>
      </c>
      <c r="E31" t="s">
        <v>1423</v>
      </c>
      <c r="F31" t="s">
        <v>1424</v>
      </c>
      <c r="G31" t="s">
        <v>1425</v>
      </c>
    </row>
    <row r="32" spans="1:7" x14ac:dyDescent="0.25">
      <c r="A32" t="s">
        <v>75</v>
      </c>
      <c r="B32" t="s">
        <v>10</v>
      </c>
      <c r="C32" t="s">
        <v>915</v>
      </c>
      <c r="D32" t="s">
        <v>77</v>
      </c>
      <c r="E32" t="s">
        <v>1426</v>
      </c>
      <c r="F32" t="s">
        <v>1424</v>
      </c>
      <c r="G32" t="s">
        <v>1425</v>
      </c>
    </row>
    <row r="33" spans="1:7" x14ac:dyDescent="0.25">
      <c r="A33" t="s">
        <v>104</v>
      </c>
      <c r="B33" t="s">
        <v>10</v>
      </c>
      <c r="C33" t="s">
        <v>1427</v>
      </c>
      <c r="D33" t="s">
        <v>106</v>
      </c>
      <c r="E33" t="s">
        <v>1428</v>
      </c>
      <c r="F33" t="s">
        <v>1429</v>
      </c>
      <c r="G33" t="s">
        <v>1430</v>
      </c>
    </row>
    <row r="34" spans="1:7" x14ac:dyDescent="0.25">
      <c r="A34" t="s">
        <v>104</v>
      </c>
      <c r="B34" t="s">
        <v>10</v>
      </c>
      <c r="C34" t="s">
        <v>1431</v>
      </c>
      <c r="D34" t="s">
        <v>106</v>
      </c>
      <c r="E34" t="s">
        <v>1432</v>
      </c>
      <c r="F34" t="s">
        <v>1429</v>
      </c>
      <c r="G34" t="s">
        <v>1430</v>
      </c>
    </row>
    <row r="35" spans="1:7" x14ac:dyDescent="0.25">
      <c r="A35" t="s">
        <v>104</v>
      </c>
      <c r="B35" t="s">
        <v>10</v>
      </c>
      <c r="C35" t="s">
        <v>1433</v>
      </c>
      <c r="D35" t="s">
        <v>106</v>
      </c>
      <c r="E35" t="s">
        <v>1434</v>
      </c>
      <c r="F35" t="s">
        <v>1429</v>
      </c>
      <c r="G35" t="s">
        <v>1430</v>
      </c>
    </row>
    <row r="36" spans="1:7" x14ac:dyDescent="0.25">
      <c r="A36" t="s">
        <v>104</v>
      </c>
      <c r="B36" t="s">
        <v>10</v>
      </c>
      <c r="C36" t="s">
        <v>1435</v>
      </c>
      <c r="D36" t="s">
        <v>106</v>
      </c>
      <c r="E36" t="s">
        <v>1436</v>
      </c>
      <c r="F36" t="s">
        <v>1429</v>
      </c>
      <c r="G36" t="s">
        <v>1430</v>
      </c>
    </row>
    <row r="37" spans="1:7" x14ac:dyDescent="0.25">
      <c r="A37" t="s">
        <v>104</v>
      </c>
      <c r="B37" t="s">
        <v>10</v>
      </c>
      <c r="C37" t="s">
        <v>1437</v>
      </c>
      <c r="D37" t="s">
        <v>106</v>
      </c>
      <c r="E37" t="s">
        <v>1438</v>
      </c>
      <c r="F37" t="s">
        <v>1429</v>
      </c>
      <c r="G37" t="s">
        <v>1430</v>
      </c>
    </row>
    <row r="38" spans="1:7" x14ac:dyDescent="0.25">
      <c r="A38" t="s">
        <v>104</v>
      </c>
      <c r="B38" t="s">
        <v>10</v>
      </c>
      <c r="C38" t="s">
        <v>1439</v>
      </c>
      <c r="D38" t="s">
        <v>106</v>
      </c>
      <c r="E38" t="s">
        <v>1440</v>
      </c>
      <c r="F38" t="s">
        <v>1429</v>
      </c>
      <c r="G38" t="s">
        <v>1430</v>
      </c>
    </row>
    <row r="39" spans="1:7" x14ac:dyDescent="0.25">
      <c r="A39" t="s">
        <v>104</v>
      </c>
      <c r="B39" t="s">
        <v>10</v>
      </c>
      <c r="C39" t="s">
        <v>1441</v>
      </c>
      <c r="D39" t="s">
        <v>106</v>
      </c>
      <c r="E39" t="s">
        <v>1442</v>
      </c>
      <c r="F39" t="s">
        <v>1429</v>
      </c>
      <c r="G39" t="s">
        <v>1430</v>
      </c>
    </row>
    <row r="40" spans="1:7" x14ac:dyDescent="0.25">
      <c r="A40" t="s">
        <v>104</v>
      </c>
      <c r="B40" t="s">
        <v>10</v>
      </c>
      <c r="C40" t="s">
        <v>1443</v>
      </c>
      <c r="D40" t="s">
        <v>106</v>
      </c>
      <c r="E40" t="s">
        <v>1444</v>
      </c>
      <c r="F40" t="s">
        <v>1429</v>
      </c>
      <c r="G40" t="s">
        <v>1430</v>
      </c>
    </row>
    <row r="41" spans="1:7" x14ac:dyDescent="0.25">
      <c r="A41" t="s">
        <v>104</v>
      </c>
      <c r="B41" t="s">
        <v>10</v>
      </c>
      <c r="C41" t="s">
        <v>1445</v>
      </c>
      <c r="D41" t="s">
        <v>106</v>
      </c>
      <c r="E41" t="s">
        <v>1446</v>
      </c>
      <c r="F41" t="s">
        <v>1429</v>
      </c>
      <c r="G41" t="s">
        <v>1430</v>
      </c>
    </row>
    <row r="42" spans="1:7" x14ac:dyDescent="0.25">
      <c r="A42" t="s">
        <v>104</v>
      </c>
      <c r="B42" t="s">
        <v>10</v>
      </c>
      <c r="C42" t="s">
        <v>1447</v>
      </c>
      <c r="D42" t="s">
        <v>106</v>
      </c>
      <c r="E42" t="s">
        <v>1448</v>
      </c>
      <c r="F42" t="s">
        <v>1429</v>
      </c>
      <c r="G42" t="s">
        <v>1430</v>
      </c>
    </row>
    <row r="43" spans="1:7" x14ac:dyDescent="0.25">
      <c r="A43" t="s">
        <v>104</v>
      </c>
      <c r="B43" t="s">
        <v>10</v>
      </c>
      <c r="C43" t="s">
        <v>1449</v>
      </c>
      <c r="D43" t="s">
        <v>106</v>
      </c>
      <c r="E43" t="s">
        <v>1450</v>
      </c>
      <c r="F43" t="s">
        <v>1429</v>
      </c>
      <c r="G43" t="s">
        <v>1430</v>
      </c>
    </row>
    <row r="44" spans="1:7" x14ac:dyDescent="0.25">
      <c r="A44" t="s">
        <v>104</v>
      </c>
      <c r="B44" t="s">
        <v>10</v>
      </c>
      <c r="C44" t="s">
        <v>1451</v>
      </c>
      <c r="D44" t="s">
        <v>106</v>
      </c>
      <c r="E44" t="s">
        <v>1452</v>
      </c>
      <c r="F44" t="s">
        <v>1429</v>
      </c>
      <c r="G44" t="s">
        <v>1430</v>
      </c>
    </row>
    <row r="45" spans="1:7" x14ac:dyDescent="0.25">
      <c r="A45" t="s">
        <v>168</v>
      </c>
      <c r="B45" t="s">
        <v>10</v>
      </c>
      <c r="C45" t="s">
        <v>1453</v>
      </c>
      <c r="D45" t="s">
        <v>12</v>
      </c>
      <c r="E45" t="s">
        <v>1454</v>
      </c>
      <c r="F45" t="s">
        <v>1455</v>
      </c>
      <c r="G45" t="s">
        <v>1456</v>
      </c>
    </row>
    <row r="46" spans="1:7" x14ac:dyDescent="0.25">
      <c r="A46" t="s">
        <v>168</v>
      </c>
      <c r="B46" t="s">
        <v>10</v>
      </c>
      <c r="C46" t="s">
        <v>1453</v>
      </c>
      <c r="D46" t="s">
        <v>12</v>
      </c>
      <c r="E46" t="s">
        <v>1457</v>
      </c>
      <c r="F46" t="s">
        <v>1455</v>
      </c>
      <c r="G46" t="s">
        <v>1456</v>
      </c>
    </row>
    <row r="47" spans="1:7" x14ac:dyDescent="0.25">
      <c r="A47" t="s">
        <v>168</v>
      </c>
      <c r="B47" t="s">
        <v>10</v>
      </c>
      <c r="C47" t="s">
        <v>1453</v>
      </c>
      <c r="D47" t="s">
        <v>12</v>
      </c>
      <c r="E47" t="s">
        <v>1458</v>
      </c>
      <c r="F47" t="s">
        <v>1455</v>
      </c>
      <c r="G47" t="s">
        <v>1456</v>
      </c>
    </row>
    <row r="48" spans="1:7" x14ac:dyDescent="0.25">
      <c r="A48" t="s">
        <v>168</v>
      </c>
      <c r="B48" t="s">
        <v>10</v>
      </c>
      <c r="C48" t="s">
        <v>1453</v>
      </c>
      <c r="D48" t="s">
        <v>12</v>
      </c>
      <c r="E48" t="s">
        <v>1459</v>
      </c>
      <c r="F48" t="s">
        <v>1455</v>
      </c>
      <c r="G48" t="s">
        <v>1456</v>
      </c>
    </row>
    <row r="49" spans="1:7" x14ac:dyDescent="0.25">
      <c r="A49" t="s">
        <v>168</v>
      </c>
      <c r="B49" t="s">
        <v>10</v>
      </c>
      <c r="C49" t="s">
        <v>1059</v>
      </c>
      <c r="D49" t="s">
        <v>12</v>
      </c>
      <c r="E49" t="s">
        <v>1460</v>
      </c>
      <c r="F49" t="s">
        <v>1455</v>
      </c>
      <c r="G49" t="s">
        <v>1456</v>
      </c>
    </row>
    <row r="50" spans="1:7" x14ac:dyDescent="0.25">
      <c r="A50" t="s">
        <v>168</v>
      </c>
      <c r="B50" t="s">
        <v>10</v>
      </c>
      <c r="C50" t="s">
        <v>1059</v>
      </c>
      <c r="D50" t="s">
        <v>12</v>
      </c>
      <c r="E50" t="s">
        <v>1461</v>
      </c>
      <c r="F50" t="s">
        <v>1455</v>
      </c>
      <c r="G50" t="s">
        <v>1456</v>
      </c>
    </row>
    <row r="51" spans="1:7" x14ac:dyDescent="0.25">
      <c r="A51" t="s">
        <v>168</v>
      </c>
      <c r="B51" t="s">
        <v>10</v>
      </c>
      <c r="C51" t="s">
        <v>1059</v>
      </c>
      <c r="D51" t="s">
        <v>12</v>
      </c>
      <c r="E51" t="s">
        <v>1462</v>
      </c>
      <c r="F51" t="s">
        <v>1455</v>
      </c>
      <c r="G51" t="s">
        <v>1456</v>
      </c>
    </row>
    <row r="52" spans="1:7" x14ac:dyDescent="0.25">
      <c r="A52" t="s">
        <v>168</v>
      </c>
      <c r="B52" t="s">
        <v>10</v>
      </c>
      <c r="C52" t="s">
        <v>1059</v>
      </c>
      <c r="D52" t="s">
        <v>12</v>
      </c>
      <c r="E52" t="s">
        <v>1463</v>
      </c>
      <c r="F52" t="s">
        <v>1455</v>
      </c>
      <c r="G52" t="s">
        <v>1456</v>
      </c>
    </row>
    <row r="53" spans="1:7" x14ac:dyDescent="0.25">
      <c r="A53" t="s">
        <v>168</v>
      </c>
      <c r="B53" t="s">
        <v>10</v>
      </c>
      <c r="C53" t="s">
        <v>1059</v>
      </c>
      <c r="D53" t="s">
        <v>12</v>
      </c>
      <c r="E53" t="s">
        <v>1464</v>
      </c>
      <c r="F53" t="s">
        <v>1455</v>
      </c>
      <c r="G53" t="s">
        <v>1456</v>
      </c>
    </row>
    <row r="54" spans="1:7" x14ac:dyDescent="0.25">
      <c r="A54" t="s">
        <v>168</v>
      </c>
      <c r="B54" t="s">
        <v>10</v>
      </c>
      <c r="C54" t="s">
        <v>1059</v>
      </c>
      <c r="D54" t="s">
        <v>12</v>
      </c>
      <c r="E54" t="s">
        <v>1465</v>
      </c>
      <c r="F54" t="s">
        <v>1455</v>
      </c>
      <c r="G54" t="s">
        <v>1456</v>
      </c>
    </row>
    <row r="55" spans="1:7" x14ac:dyDescent="0.25">
      <c r="A55" t="s">
        <v>180</v>
      </c>
      <c r="B55" t="s">
        <v>10</v>
      </c>
      <c r="C55" t="s">
        <v>1453</v>
      </c>
      <c r="D55" t="s">
        <v>12</v>
      </c>
      <c r="E55" t="s">
        <v>1454</v>
      </c>
      <c r="F55" t="s">
        <v>1455</v>
      </c>
      <c r="G55" t="s">
        <v>1456</v>
      </c>
    </row>
    <row r="56" spans="1:7" x14ac:dyDescent="0.25">
      <c r="A56" t="s">
        <v>180</v>
      </c>
      <c r="B56" t="s">
        <v>10</v>
      </c>
      <c r="C56" t="s">
        <v>1453</v>
      </c>
      <c r="D56" t="s">
        <v>12</v>
      </c>
      <c r="E56" t="s">
        <v>1457</v>
      </c>
      <c r="F56" t="s">
        <v>1455</v>
      </c>
      <c r="G56" t="s">
        <v>1456</v>
      </c>
    </row>
    <row r="57" spans="1:7" x14ac:dyDescent="0.25">
      <c r="A57" t="s">
        <v>180</v>
      </c>
      <c r="B57" t="s">
        <v>10</v>
      </c>
      <c r="C57" t="s">
        <v>1453</v>
      </c>
      <c r="D57" t="s">
        <v>12</v>
      </c>
      <c r="E57" t="s">
        <v>1458</v>
      </c>
      <c r="F57" t="s">
        <v>1455</v>
      </c>
      <c r="G57" t="s">
        <v>1456</v>
      </c>
    </row>
    <row r="58" spans="1:7" x14ac:dyDescent="0.25">
      <c r="A58" t="s">
        <v>180</v>
      </c>
      <c r="B58" t="s">
        <v>10</v>
      </c>
      <c r="C58" t="s">
        <v>1453</v>
      </c>
      <c r="D58" t="s">
        <v>12</v>
      </c>
      <c r="E58" t="s">
        <v>1459</v>
      </c>
      <c r="F58" t="s">
        <v>1455</v>
      </c>
      <c r="G58" t="s">
        <v>1456</v>
      </c>
    </row>
    <row r="59" spans="1:7" x14ac:dyDescent="0.25">
      <c r="A59" t="s">
        <v>180</v>
      </c>
      <c r="B59" t="s">
        <v>10</v>
      </c>
      <c r="C59" t="s">
        <v>1059</v>
      </c>
      <c r="D59" t="s">
        <v>12</v>
      </c>
      <c r="E59" t="s">
        <v>1460</v>
      </c>
      <c r="F59" t="s">
        <v>1455</v>
      </c>
      <c r="G59" t="s">
        <v>1456</v>
      </c>
    </row>
    <row r="60" spans="1:7" x14ac:dyDescent="0.25">
      <c r="A60" t="s">
        <v>180</v>
      </c>
      <c r="B60" t="s">
        <v>10</v>
      </c>
      <c r="C60" t="s">
        <v>1059</v>
      </c>
      <c r="D60" t="s">
        <v>12</v>
      </c>
      <c r="E60" t="s">
        <v>1461</v>
      </c>
      <c r="F60" t="s">
        <v>1455</v>
      </c>
      <c r="G60" t="s">
        <v>1456</v>
      </c>
    </row>
    <row r="61" spans="1:7" x14ac:dyDescent="0.25">
      <c r="A61" t="s">
        <v>180</v>
      </c>
      <c r="B61" t="s">
        <v>10</v>
      </c>
      <c r="C61" t="s">
        <v>1059</v>
      </c>
      <c r="D61" t="s">
        <v>12</v>
      </c>
      <c r="E61" t="s">
        <v>1462</v>
      </c>
      <c r="F61" t="s">
        <v>1455</v>
      </c>
      <c r="G61" t="s">
        <v>1456</v>
      </c>
    </row>
    <row r="62" spans="1:7" x14ac:dyDescent="0.25">
      <c r="A62" t="s">
        <v>180</v>
      </c>
      <c r="B62" t="s">
        <v>10</v>
      </c>
      <c r="C62" t="s">
        <v>1059</v>
      </c>
      <c r="D62" t="s">
        <v>12</v>
      </c>
      <c r="E62" t="s">
        <v>1463</v>
      </c>
      <c r="F62" t="s">
        <v>1455</v>
      </c>
      <c r="G62" t="s">
        <v>1456</v>
      </c>
    </row>
    <row r="63" spans="1:7" x14ac:dyDescent="0.25">
      <c r="A63" t="s">
        <v>180</v>
      </c>
      <c r="B63" t="s">
        <v>10</v>
      </c>
      <c r="C63" t="s">
        <v>1059</v>
      </c>
      <c r="D63" t="s">
        <v>12</v>
      </c>
      <c r="E63" t="s">
        <v>1464</v>
      </c>
      <c r="F63" t="s">
        <v>1455</v>
      </c>
      <c r="G63" t="s">
        <v>1456</v>
      </c>
    </row>
    <row r="64" spans="1:7" x14ac:dyDescent="0.25">
      <c r="A64" t="s">
        <v>180</v>
      </c>
      <c r="B64" t="s">
        <v>10</v>
      </c>
      <c r="C64" t="s">
        <v>1059</v>
      </c>
      <c r="D64" t="s">
        <v>12</v>
      </c>
      <c r="E64" t="s">
        <v>1465</v>
      </c>
      <c r="F64" t="s">
        <v>1455</v>
      </c>
      <c r="G64" t="s">
        <v>1456</v>
      </c>
    </row>
    <row r="65" spans="1:7" x14ac:dyDescent="0.25">
      <c r="A65" t="s">
        <v>180</v>
      </c>
      <c r="B65" t="s">
        <v>10</v>
      </c>
      <c r="C65" t="s">
        <v>952</v>
      </c>
      <c r="D65" t="s">
        <v>12</v>
      </c>
      <c r="E65" t="s">
        <v>1466</v>
      </c>
      <c r="F65" t="s">
        <v>1467</v>
      </c>
      <c r="G65" t="s">
        <v>1468</v>
      </c>
    </row>
    <row r="66" spans="1:7" x14ac:dyDescent="0.25">
      <c r="A66" t="s">
        <v>180</v>
      </c>
      <c r="B66" t="s">
        <v>10</v>
      </c>
      <c r="C66" t="s">
        <v>952</v>
      </c>
      <c r="D66" t="s">
        <v>12</v>
      </c>
      <c r="E66" t="s">
        <v>1469</v>
      </c>
      <c r="F66" t="s">
        <v>1467</v>
      </c>
      <c r="G66" t="s">
        <v>1468</v>
      </c>
    </row>
    <row r="67" spans="1:7" x14ac:dyDescent="0.25">
      <c r="A67" t="s">
        <v>180</v>
      </c>
      <c r="B67" t="s">
        <v>10</v>
      </c>
      <c r="C67" t="s">
        <v>957</v>
      </c>
      <c r="D67" t="s">
        <v>12</v>
      </c>
      <c r="E67" t="s">
        <v>1470</v>
      </c>
      <c r="F67" t="s">
        <v>1467</v>
      </c>
      <c r="G67" t="s">
        <v>1468</v>
      </c>
    </row>
    <row r="68" spans="1:7" x14ac:dyDescent="0.25">
      <c r="A68" t="s">
        <v>211</v>
      </c>
      <c r="B68" t="s">
        <v>10</v>
      </c>
      <c r="C68" t="s">
        <v>960</v>
      </c>
      <c r="D68" t="s">
        <v>12</v>
      </c>
      <c r="E68" t="s">
        <v>1471</v>
      </c>
      <c r="F68" t="s">
        <v>1472</v>
      </c>
      <c r="G68" t="s">
        <v>1473</v>
      </c>
    </row>
    <row r="69" spans="1:7" x14ac:dyDescent="0.25">
      <c r="A69" t="s">
        <v>211</v>
      </c>
      <c r="B69" t="s">
        <v>10</v>
      </c>
      <c r="C69" t="s">
        <v>960</v>
      </c>
      <c r="D69" t="s">
        <v>12</v>
      </c>
      <c r="E69" t="s">
        <v>1474</v>
      </c>
      <c r="F69" t="s">
        <v>1472</v>
      </c>
      <c r="G69" t="s">
        <v>1473</v>
      </c>
    </row>
    <row r="70" spans="1:7" x14ac:dyDescent="0.25">
      <c r="A70" t="s">
        <v>211</v>
      </c>
      <c r="B70" t="s">
        <v>10</v>
      </c>
      <c r="C70" t="s">
        <v>960</v>
      </c>
      <c r="D70" t="s">
        <v>12</v>
      </c>
      <c r="E70" t="s">
        <v>1475</v>
      </c>
      <c r="F70" t="s">
        <v>1472</v>
      </c>
      <c r="G70" t="s">
        <v>1473</v>
      </c>
    </row>
    <row r="71" spans="1:7" x14ac:dyDescent="0.25">
      <c r="A71" t="s">
        <v>211</v>
      </c>
      <c r="B71" t="s">
        <v>10</v>
      </c>
      <c r="C71" t="s">
        <v>962</v>
      </c>
      <c r="D71" t="s">
        <v>12</v>
      </c>
      <c r="E71" t="s">
        <v>1476</v>
      </c>
      <c r="F71" t="s">
        <v>1472</v>
      </c>
      <c r="G71" t="s">
        <v>1473</v>
      </c>
    </row>
    <row r="72" spans="1:7" x14ac:dyDescent="0.25">
      <c r="A72" t="s">
        <v>211</v>
      </c>
      <c r="B72" t="s">
        <v>10</v>
      </c>
      <c r="C72" t="s">
        <v>962</v>
      </c>
      <c r="D72" t="s">
        <v>12</v>
      </c>
      <c r="E72" t="s">
        <v>1477</v>
      </c>
      <c r="F72" t="s">
        <v>1472</v>
      </c>
      <c r="G72" t="s">
        <v>1473</v>
      </c>
    </row>
    <row r="73" spans="1:7" x14ac:dyDescent="0.25">
      <c r="A73" t="s">
        <v>211</v>
      </c>
      <c r="B73" t="s">
        <v>10</v>
      </c>
      <c r="C73" t="s">
        <v>962</v>
      </c>
      <c r="D73" t="s">
        <v>12</v>
      </c>
      <c r="E73" t="s">
        <v>1474</v>
      </c>
      <c r="F73" t="s">
        <v>1472</v>
      </c>
      <c r="G73" t="s">
        <v>1473</v>
      </c>
    </row>
    <row r="74" spans="1:7" x14ac:dyDescent="0.25">
      <c r="A74" t="s">
        <v>211</v>
      </c>
      <c r="B74" t="s">
        <v>10</v>
      </c>
      <c r="C74" t="s">
        <v>964</v>
      </c>
      <c r="D74" t="s">
        <v>12</v>
      </c>
      <c r="E74" t="s">
        <v>1478</v>
      </c>
      <c r="F74" t="s">
        <v>1479</v>
      </c>
      <c r="G74" t="s">
        <v>1480</v>
      </c>
    </row>
    <row r="75" spans="1:7" x14ac:dyDescent="0.25">
      <c r="A75" t="s">
        <v>211</v>
      </c>
      <c r="B75" t="s">
        <v>10</v>
      </c>
      <c r="C75" t="s">
        <v>964</v>
      </c>
      <c r="D75" t="s">
        <v>12</v>
      </c>
      <c r="E75" t="s">
        <v>1481</v>
      </c>
      <c r="F75" t="s">
        <v>1479</v>
      </c>
      <c r="G75" t="s">
        <v>1480</v>
      </c>
    </row>
    <row r="76" spans="1:7" x14ac:dyDescent="0.25">
      <c r="A76" t="s">
        <v>211</v>
      </c>
      <c r="B76" t="s">
        <v>10</v>
      </c>
      <c r="C76" t="s">
        <v>964</v>
      </c>
      <c r="D76" t="s">
        <v>12</v>
      </c>
      <c r="E76" t="s">
        <v>1482</v>
      </c>
      <c r="F76" t="s">
        <v>1479</v>
      </c>
      <c r="G76" t="s">
        <v>1480</v>
      </c>
    </row>
    <row r="77" spans="1:7" x14ac:dyDescent="0.25">
      <c r="A77" t="s">
        <v>211</v>
      </c>
      <c r="B77" t="s">
        <v>10</v>
      </c>
      <c r="C77" t="s">
        <v>966</v>
      </c>
      <c r="D77" t="s">
        <v>12</v>
      </c>
      <c r="E77" t="s">
        <v>1483</v>
      </c>
      <c r="F77" t="s">
        <v>1484</v>
      </c>
      <c r="G77" t="s">
        <v>1485</v>
      </c>
    </row>
    <row r="78" spans="1:7" x14ac:dyDescent="0.25">
      <c r="A78" t="s">
        <v>211</v>
      </c>
      <c r="B78" t="s">
        <v>10</v>
      </c>
      <c r="C78" t="s">
        <v>966</v>
      </c>
      <c r="D78" t="s">
        <v>12</v>
      </c>
      <c r="E78" t="s">
        <v>1486</v>
      </c>
      <c r="F78" t="s">
        <v>1484</v>
      </c>
      <c r="G78" t="s">
        <v>1485</v>
      </c>
    </row>
    <row r="79" spans="1:7" x14ac:dyDescent="0.25">
      <c r="A79" t="s">
        <v>211</v>
      </c>
      <c r="B79" t="s">
        <v>10</v>
      </c>
      <c r="C79" t="s">
        <v>966</v>
      </c>
      <c r="D79" t="s">
        <v>12</v>
      </c>
      <c r="E79" t="s">
        <v>1487</v>
      </c>
      <c r="F79" t="s">
        <v>1484</v>
      </c>
      <c r="G79" t="s">
        <v>1485</v>
      </c>
    </row>
    <row r="80" spans="1:7" x14ac:dyDescent="0.25">
      <c r="A80" t="s">
        <v>211</v>
      </c>
      <c r="B80" t="s">
        <v>10</v>
      </c>
      <c r="C80" t="s">
        <v>968</v>
      </c>
      <c r="D80" t="s">
        <v>12</v>
      </c>
      <c r="E80" t="s">
        <v>1488</v>
      </c>
      <c r="F80" t="s">
        <v>1479</v>
      </c>
      <c r="G80" t="s">
        <v>1480</v>
      </c>
    </row>
    <row r="81" spans="1:7" x14ac:dyDescent="0.25">
      <c r="A81" t="s">
        <v>211</v>
      </c>
      <c r="B81" t="s">
        <v>10</v>
      </c>
      <c r="C81" t="s">
        <v>968</v>
      </c>
      <c r="D81" t="s">
        <v>12</v>
      </c>
      <c r="E81" t="s">
        <v>1489</v>
      </c>
      <c r="F81" t="s">
        <v>1479</v>
      </c>
      <c r="G81" t="s">
        <v>1480</v>
      </c>
    </row>
    <row r="82" spans="1:7" x14ac:dyDescent="0.25">
      <c r="A82" t="s">
        <v>211</v>
      </c>
      <c r="B82" t="s">
        <v>10</v>
      </c>
      <c r="C82" t="s">
        <v>968</v>
      </c>
      <c r="D82" t="s">
        <v>12</v>
      </c>
      <c r="E82" t="s">
        <v>1490</v>
      </c>
      <c r="F82" t="s">
        <v>1479</v>
      </c>
      <c r="G82" t="s">
        <v>1480</v>
      </c>
    </row>
    <row r="83" spans="1:7" x14ac:dyDescent="0.25">
      <c r="A83" t="s">
        <v>211</v>
      </c>
      <c r="B83" t="s">
        <v>10</v>
      </c>
      <c r="C83" t="s">
        <v>970</v>
      </c>
      <c r="D83" t="s">
        <v>12</v>
      </c>
      <c r="E83" t="s">
        <v>1491</v>
      </c>
      <c r="F83" t="s">
        <v>1467</v>
      </c>
      <c r="G83" t="s">
        <v>1468</v>
      </c>
    </row>
    <row r="84" spans="1:7" x14ac:dyDescent="0.25">
      <c r="A84" t="s">
        <v>211</v>
      </c>
      <c r="B84" t="s">
        <v>10</v>
      </c>
      <c r="C84" t="s">
        <v>970</v>
      </c>
      <c r="D84" t="s">
        <v>12</v>
      </c>
      <c r="E84" t="s">
        <v>1477</v>
      </c>
      <c r="F84" t="s">
        <v>1467</v>
      </c>
      <c r="G84" t="s">
        <v>1468</v>
      </c>
    </row>
    <row r="85" spans="1:7" x14ac:dyDescent="0.25">
      <c r="A85" t="s">
        <v>211</v>
      </c>
      <c r="B85" t="s">
        <v>10</v>
      </c>
      <c r="C85" t="s">
        <v>970</v>
      </c>
      <c r="D85" t="s">
        <v>12</v>
      </c>
      <c r="E85" t="s">
        <v>1475</v>
      </c>
      <c r="F85" t="s">
        <v>1467</v>
      </c>
      <c r="G85" t="s">
        <v>1468</v>
      </c>
    </row>
    <row r="86" spans="1:7" x14ac:dyDescent="0.25">
      <c r="A86" t="s">
        <v>211</v>
      </c>
      <c r="B86" t="s">
        <v>10</v>
      </c>
      <c r="C86" t="s">
        <v>972</v>
      </c>
      <c r="D86" t="s">
        <v>12</v>
      </c>
      <c r="E86" t="s">
        <v>1492</v>
      </c>
      <c r="F86" t="s">
        <v>1493</v>
      </c>
      <c r="G86" t="s">
        <v>1494</v>
      </c>
    </row>
    <row r="87" spans="1:7" x14ac:dyDescent="0.25">
      <c r="A87" t="s">
        <v>211</v>
      </c>
      <c r="B87" t="s">
        <v>10</v>
      </c>
      <c r="C87" t="s">
        <v>974</v>
      </c>
      <c r="D87" t="s">
        <v>12</v>
      </c>
      <c r="E87" t="s">
        <v>1495</v>
      </c>
      <c r="F87" t="s">
        <v>1493</v>
      </c>
      <c r="G87" t="s">
        <v>1494</v>
      </c>
    </row>
    <row r="88" spans="1:7" x14ac:dyDescent="0.25">
      <c r="A88" t="s">
        <v>211</v>
      </c>
      <c r="B88" t="s">
        <v>10</v>
      </c>
      <c r="C88" t="s">
        <v>976</v>
      </c>
      <c r="D88" t="s">
        <v>12</v>
      </c>
      <c r="E88" t="s">
        <v>1474</v>
      </c>
      <c r="F88" t="s">
        <v>1493</v>
      </c>
      <c r="G88" t="s">
        <v>1494</v>
      </c>
    </row>
    <row r="89" spans="1:7" x14ac:dyDescent="0.25">
      <c r="A89" t="s">
        <v>211</v>
      </c>
      <c r="B89" t="s">
        <v>10</v>
      </c>
      <c r="C89" t="s">
        <v>978</v>
      </c>
      <c r="D89" t="s">
        <v>12</v>
      </c>
      <c r="E89" t="s">
        <v>1496</v>
      </c>
      <c r="F89" t="s">
        <v>1497</v>
      </c>
      <c r="G89" t="s">
        <v>1498</v>
      </c>
    </row>
    <row r="90" spans="1:7" x14ac:dyDescent="0.25">
      <c r="A90" t="s">
        <v>211</v>
      </c>
      <c r="B90" t="s">
        <v>10</v>
      </c>
      <c r="C90" t="s">
        <v>978</v>
      </c>
      <c r="D90" t="s">
        <v>12</v>
      </c>
      <c r="E90" t="s">
        <v>1499</v>
      </c>
      <c r="F90" t="s">
        <v>1497</v>
      </c>
      <c r="G90" t="s">
        <v>1498</v>
      </c>
    </row>
    <row r="91" spans="1:7" x14ac:dyDescent="0.25">
      <c r="A91" t="s">
        <v>211</v>
      </c>
      <c r="B91" t="s">
        <v>10</v>
      </c>
      <c r="C91" t="s">
        <v>978</v>
      </c>
      <c r="D91" t="s">
        <v>12</v>
      </c>
      <c r="E91" t="s">
        <v>1500</v>
      </c>
      <c r="F91" t="s">
        <v>1497</v>
      </c>
      <c r="G91" t="s">
        <v>1498</v>
      </c>
    </row>
    <row r="92" spans="1:7" x14ac:dyDescent="0.25">
      <c r="A92" t="s">
        <v>211</v>
      </c>
      <c r="B92" t="s">
        <v>10</v>
      </c>
      <c r="C92" t="s">
        <v>980</v>
      </c>
      <c r="D92" t="s">
        <v>12</v>
      </c>
      <c r="E92" t="s">
        <v>1501</v>
      </c>
      <c r="F92" t="s">
        <v>1497</v>
      </c>
      <c r="G92" t="s">
        <v>1498</v>
      </c>
    </row>
    <row r="93" spans="1:7" x14ac:dyDescent="0.25">
      <c r="A93" t="s">
        <v>211</v>
      </c>
      <c r="B93" t="s">
        <v>10</v>
      </c>
      <c r="C93" t="s">
        <v>980</v>
      </c>
      <c r="D93" t="s">
        <v>12</v>
      </c>
      <c r="E93" t="s">
        <v>1502</v>
      </c>
      <c r="F93" t="s">
        <v>1497</v>
      </c>
      <c r="G93" t="s">
        <v>1498</v>
      </c>
    </row>
    <row r="94" spans="1:7" x14ac:dyDescent="0.25">
      <c r="A94" t="s">
        <v>211</v>
      </c>
      <c r="B94" t="s">
        <v>10</v>
      </c>
      <c r="C94" t="s">
        <v>980</v>
      </c>
      <c r="D94" t="s">
        <v>12</v>
      </c>
      <c r="E94" t="s">
        <v>1503</v>
      </c>
      <c r="F94" t="s">
        <v>1497</v>
      </c>
      <c r="G94" t="s">
        <v>1498</v>
      </c>
    </row>
    <row r="95" spans="1:7" x14ac:dyDescent="0.25">
      <c r="A95" t="s">
        <v>211</v>
      </c>
      <c r="B95" t="s">
        <v>10</v>
      </c>
      <c r="C95" t="s">
        <v>982</v>
      </c>
      <c r="D95" t="s">
        <v>12</v>
      </c>
      <c r="E95" t="s">
        <v>1504</v>
      </c>
      <c r="F95" t="s">
        <v>1497</v>
      </c>
      <c r="G95" t="s">
        <v>1498</v>
      </c>
    </row>
    <row r="96" spans="1:7" x14ac:dyDescent="0.25">
      <c r="A96" t="s">
        <v>211</v>
      </c>
      <c r="B96" t="s">
        <v>10</v>
      </c>
      <c r="C96" t="s">
        <v>982</v>
      </c>
      <c r="D96" t="s">
        <v>12</v>
      </c>
      <c r="E96" t="s">
        <v>528</v>
      </c>
      <c r="F96" t="s">
        <v>1497</v>
      </c>
      <c r="G96" t="s">
        <v>1498</v>
      </c>
    </row>
    <row r="97" spans="1:7" x14ac:dyDescent="0.25">
      <c r="A97" t="s">
        <v>211</v>
      </c>
      <c r="B97" t="s">
        <v>10</v>
      </c>
      <c r="C97" t="s">
        <v>982</v>
      </c>
      <c r="D97" t="s">
        <v>12</v>
      </c>
      <c r="E97" t="s">
        <v>1505</v>
      </c>
      <c r="F97" t="s">
        <v>1497</v>
      </c>
      <c r="G97" t="s">
        <v>1498</v>
      </c>
    </row>
    <row r="98" spans="1:7" x14ac:dyDescent="0.25">
      <c r="A98" t="s">
        <v>311</v>
      </c>
      <c r="B98" t="s">
        <v>10</v>
      </c>
      <c r="C98" t="s">
        <v>1506</v>
      </c>
      <c r="D98" t="s">
        <v>106</v>
      </c>
      <c r="E98" t="s">
        <v>1507</v>
      </c>
      <c r="F98" t="s">
        <v>1508</v>
      </c>
      <c r="G98" t="s">
        <v>1509</v>
      </c>
    </row>
    <row r="99" spans="1:7" x14ac:dyDescent="0.25">
      <c r="A99" t="s">
        <v>311</v>
      </c>
      <c r="B99" t="s">
        <v>10</v>
      </c>
      <c r="C99" t="s">
        <v>1510</v>
      </c>
      <c r="D99" t="s">
        <v>106</v>
      </c>
      <c r="E99" t="s">
        <v>1511</v>
      </c>
      <c r="F99" t="s">
        <v>1508</v>
      </c>
      <c r="G99" t="s">
        <v>1509</v>
      </c>
    </row>
    <row r="100" spans="1:7" x14ac:dyDescent="0.25">
      <c r="A100" t="s">
        <v>311</v>
      </c>
      <c r="B100" t="s">
        <v>10</v>
      </c>
      <c r="C100" t="s">
        <v>1512</v>
      </c>
      <c r="D100" t="s">
        <v>106</v>
      </c>
      <c r="E100" t="s">
        <v>1513</v>
      </c>
      <c r="F100" t="s">
        <v>1508</v>
      </c>
      <c r="G100" t="s">
        <v>1509</v>
      </c>
    </row>
    <row r="101" spans="1:7" x14ac:dyDescent="0.25">
      <c r="A101" t="s">
        <v>337</v>
      </c>
      <c r="B101" t="s">
        <v>10</v>
      </c>
      <c r="C101" t="s">
        <v>1506</v>
      </c>
      <c r="D101" t="s">
        <v>106</v>
      </c>
      <c r="E101" t="s">
        <v>1514</v>
      </c>
      <c r="F101" t="s">
        <v>1508</v>
      </c>
      <c r="G101" t="s">
        <v>1509</v>
      </c>
    </row>
    <row r="102" spans="1:7" x14ac:dyDescent="0.25">
      <c r="A102" t="s">
        <v>337</v>
      </c>
      <c r="B102" t="s">
        <v>10</v>
      </c>
      <c r="C102" t="s">
        <v>1510</v>
      </c>
      <c r="D102" t="s">
        <v>106</v>
      </c>
      <c r="E102" t="s">
        <v>1511</v>
      </c>
      <c r="F102" t="s">
        <v>1508</v>
      </c>
      <c r="G102" t="s">
        <v>1509</v>
      </c>
    </row>
    <row r="103" spans="1:7" x14ac:dyDescent="0.25">
      <c r="A103" t="s">
        <v>337</v>
      </c>
      <c r="B103" t="s">
        <v>10</v>
      </c>
      <c r="C103" t="s">
        <v>1512</v>
      </c>
      <c r="D103" t="s">
        <v>106</v>
      </c>
      <c r="E103" t="s">
        <v>1515</v>
      </c>
      <c r="F103" t="s">
        <v>1508</v>
      </c>
      <c r="G103" t="s">
        <v>1509</v>
      </c>
    </row>
    <row r="104" spans="1:7" x14ac:dyDescent="0.25">
      <c r="A104" t="s">
        <v>338</v>
      </c>
      <c r="B104" t="s">
        <v>10</v>
      </c>
      <c r="C104" t="s">
        <v>1506</v>
      </c>
      <c r="D104" t="s">
        <v>106</v>
      </c>
      <c r="E104" t="s">
        <v>1516</v>
      </c>
      <c r="F104" t="s">
        <v>1508</v>
      </c>
      <c r="G104" t="s">
        <v>1509</v>
      </c>
    </row>
    <row r="105" spans="1:7" x14ac:dyDescent="0.25">
      <c r="A105" t="s">
        <v>338</v>
      </c>
      <c r="B105" t="s">
        <v>10</v>
      </c>
      <c r="C105" t="s">
        <v>1510</v>
      </c>
      <c r="D105" t="s">
        <v>106</v>
      </c>
      <c r="E105" t="s">
        <v>1517</v>
      </c>
      <c r="F105" t="s">
        <v>1479</v>
      </c>
      <c r="G105" t="s">
        <v>1480</v>
      </c>
    </row>
    <row r="106" spans="1:7" x14ac:dyDescent="0.25">
      <c r="A106" t="s">
        <v>338</v>
      </c>
      <c r="B106" t="s">
        <v>10</v>
      </c>
      <c r="C106" t="s">
        <v>1512</v>
      </c>
      <c r="D106" t="s">
        <v>106</v>
      </c>
      <c r="E106" t="s">
        <v>1518</v>
      </c>
      <c r="F106" t="s">
        <v>1479</v>
      </c>
      <c r="G106" t="s">
        <v>1480</v>
      </c>
    </row>
    <row r="107" spans="1:7" x14ac:dyDescent="0.25">
      <c r="A107" t="s">
        <v>364</v>
      </c>
      <c r="B107" t="s">
        <v>10</v>
      </c>
      <c r="C107" t="s">
        <v>1519</v>
      </c>
      <c r="D107" t="s">
        <v>106</v>
      </c>
      <c r="E107" t="s">
        <v>1520</v>
      </c>
      <c r="F107" t="s">
        <v>1508</v>
      </c>
      <c r="G107" t="s">
        <v>1509</v>
      </c>
    </row>
    <row r="108" spans="1:7" x14ac:dyDescent="0.25">
      <c r="A108" t="s">
        <v>364</v>
      </c>
      <c r="B108" t="s">
        <v>10</v>
      </c>
      <c r="C108" t="s">
        <v>1521</v>
      </c>
      <c r="D108" t="s">
        <v>106</v>
      </c>
      <c r="E108" t="s">
        <v>1522</v>
      </c>
      <c r="F108" t="s">
        <v>1508</v>
      </c>
      <c r="G108" t="s">
        <v>1509</v>
      </c>
    </row>
    <row r="109" spans="1:7" x14ac:dyDescent="0.25">
      <c r="A109" t="s">
        <v>364</v>
      </c>
      <c r="B109" t="s">
        <v>10</v>
      </c>
      <c r="C109" t="s">
        <v>1523</v>
      </c>
      <c r="D109" t="s">
        <v>106</v>
      </c>
      <c r="E109" t="s">
        <v>1524</v>
      </c>
      <c r="F109" t="s">
        <v>1508</v>
      </c>
      <c r="G109" t="s">
        <v>1509</v>
      </c>
    </row>
    <row r="110" spans="1:7" x14ac:dyDescent="0.25">
      <c r="A110" t="s">
        <v>381</v>
      </c>
      <c r="B110" t="s">
        <v>10</v>
      </c>
      <c r="C110" t="s">
        <v>1525</v>
      </c>
      <c r="D110" t="s">
        <v>106</v>
      </c>
      <c r="E110" t="s">
        <v>1526</v>
      </c>
      <c r="F110" t="s">
        <v>1508</v>
      </c>
      <c r="G110" t="s">
        <v>1509</v>
      </c>
    </row>
    <row r="111" spans="1:7" x14ac:dyDescent="0.25">
      <c r="A111" t="s">
        <v>381</v>
      </c>
      <c r="B111" t="s">
        <v>10</v>
      </c>
      <c r="C111" t="s">
        <v>1527</v>
      </c>
      <c r="D111" t="s">
        <v>106</v>
      </c>
      <c r="E111" t="s">
        <v>1528</v>
      </c>
      <c r="F111" t="s">
        <v>1508</v>
      </c>
      <c r="G111" t="s">
        <v>1509</v>
      </c>
    </row>
    <row r="112" spans="1:7" x14ac:dyDescent="0.25">
      <c r="A112" t="s">
        <v>381</v>
      </c>
      <c r="B112" t="s">
        <v>10</v>
      </c>
      <c r="C112" t="s">
        <v>1529</v>
      </c>
      <c r="D112" t="s">
        <v>106</v>
      </c>
      <c r="E112" t="s">
        <v>1530</v>
      </c>
      <c r="F112" t="s">
        <v>1508</v>
      </c>
      <c r="G112" t="s">
        <v>1509</v>
      </c>
    </row>
    <row r="113" spans="1:7" x14ac:dyDescent="0.25">
      <c r="A113" t="s">
        <v>399</v>
      </c>
      <c r="B113" t="s">
        <v>10</v>
      </c>
      <c r="C113" t="s">
        <v>1531</v>
      </c>
      <c r="D113" t="s">
        <v>106</v>
      </c>
      <c r="E113" t="s">
        <v>1532</v>
      </c>
      <c r="F113" t="s">
        <v>1533</v>
      </c>
      <c r="G113" t="s">
        <v>1534</v>
      </c>
    </row>
    <row r="114" spans="1:7" x14ac:dyDescent="0.25">
      <c r="A114" t="s">
        <v>399</v>
      </c>
      <c r="B114" t="s">
        <v>10</v>
      </c>
      <c r="C114" t="s">
        <v>1531</v>
      </c>
      <c r="D114" t="s">
        <v>106</v>
      </c>
      <c r="E114" t="s">
        <v>1535</v>
      </c>
      <c r="F114" t="s">
        <v>1533</v>
      </c>
      <c r="G114" t="s">
        <v>1534</v>
      </c>
    </row>
    <row r="115" spans="1:7" x14ac:dyDescent="0.25">
      <c r="A115" t="s">
        <v>399</v>
      </c>
      <c r="B115" t="s">
        <v>10</v>
      </c>
      <c r="C115" t="s">
        <v>1536</v>
      </c>
      <c r="D115" t="s">
        <v>106</v>
      </c>
      <c r="E115" t="s">
        <v>1537</v>
      </c>
      <c r="F115" t="s">
        <v>1533</v>
      </c>
      <c r="G115" t="s">
        <v>1534</v>
      </c>
    </row>
    <row r="116" spans="1:7" x14ac:dyDescent="0.25">
      <c r="A116" t="s">
        <v>399</v>
      </c>
      <c r="B116" t="s">
        <v>10</v>
      </c>
      <c r="C116" t="s">
        <v>1538</v>
      </c>
      <c r="D116" t="s">
        <v>106</v>
      </c>
      <c r="E116" t="s">
        <v>1539</v>
      </c>
      <c r="F116" t="s">
        <v>1533</v>
      </c>
      <c r="G116" t="s">
        <v>1534</v>
      </c>
    </row>
    <row r="117" spans="1:7" x14ac:dyDescent="0.25">
      <c r="A117" t="s">
        <v>399</v>
      </c>
      <c r="B117" t="s">
        <v>10</v>
      </c>
      <c r="C117" t="s">
        <v>1538</v>
      </c>
      <c r="D117" t="s">
        <v>106</v>
      </c>
      <c r="E117" t="s">
        <v>1540</v>
      </c>
      <c r="F117" t="s">
        <v>1533</v>
      </c>
      <c r="G117" t="s">
        <v>1534</v>
      </c>
    </row>
    <row r="118" spans="1:7" x14ac:dyDescent="0.25">
      <c r="A118" t="s">
        <v>399</v>
      </c>
      <c r="B118" t="s">
        <v>10</v>
      </c>
      <c r="C118" t="s">
        <v>1541</v>
      </c>
      <c r="D118" t="s">
        <v>106</v>
      </c>
      <c r="E118" t="s">
        <v>1542</v>
      </c>
      <c r="F118" t="s">
        <v>1533</v>
      </c>
      <c r="G118" t="s">
        <v>1534</v>
      </c>
    </row>
    <row r="119" spans="1:7" x14ac:dyDescent="0.25">
      <c r="A119" t="s">
        <v>399</v>
      </c>
      <c r="B119" t="s">
        <v>10</v>
      </c>
      <c r="C119" t="s">
        <v>1543</v>
      </c>
      <c r="D119" t="s">
        <v>106</v>
      </c>
      <c r="E119" t="s">
        <v>1544</v>
      </c>
      <c r="F119" t="s">
        <v>1533</v>
      </c>
      <c r="G119" t="s">
        <v>1534</v>
      </c>
    </row>
    <row r="120" spans="1:7" x14ac:dyDescent="0.25">
      <c r="A120" t="s">
        <v>399</v>
      </c>
      <c r="B120" t="s">
        <v>10</v>
      </c>
      <c r="C120" t="s">
        <v>1543</v>
      </c>
      <c r="D120" t="s">
        <v>106</v>
      </c>
      <c r="E120" t="s">
        <v>1545</v>
      </c>
      <c r="F120" t="s">
        <v>1533</v>
      </c>
      <c r="G120" t="s">
        <v>1534</v>
      </c>
    </row>
    <row r="121" spans="1:7" x14ac:dyDescent="0.25">
      <c r="A121" t="s">
        <v>399</v>
      </c>
      <c r="B121" t="s">
        <v>10</v>
      </c>
      <c r="C121" t="s">
        <v>1546</v>
      </c>
      <c r="D121" t="s">
        <v>106</v>
      </c>
      <c r="E121" t="s">
        <v>1547</v>
      </c>
      <c r="F121" t="s">
        <v>1533</v>
      </c>
      <c r="G121" t="s">
        <v>1534</v>
      </c>
    </row>
    <row r="122" spans="1:7" x14ac:dyDescent="0.25">
      <c r="A122" t="s">
        <v>399</v>
      </c>
      <c r="B122" t="s">
        <v>10</v>
      </c>
      <c r="C122" t="s">
        <v>1548</v>
      </c>
      <c r="D122" t="s">
        <v>106</v>
      </c>
      <c r="E122" t="s">
        <v>1549</v>
      </c>
      <c r="F122" t="s">
        <v>1533</v>
      </c>
      <c r="G122" t="s">
        <v>1534</v>
      </c>
    </row>
    <row r="123" spans="1:7" x14ac:dyDescent="0.25">
      <c r="A123" t="s">
        <v>399</v>
      </c>
      <c r="B123" t="s">
        <v>10</v>
      </c>
      <c r="C123" t="s">
        <v>1550</v>
      </c>
      <c r="D123" t="s">
        <v>106</v>
      </c>
      <c r="E123" t="s">
        <v>1551</v>
      </c>
      <c r="F123" t="s">
        <v>1533</v>
      </c>
      <c r="G123" t="s">
        <v>1534</v>
      </c>
    </row>
    <row r="124" spans="1:7" x14ac:dyDescent="0.25">
      <c r="A124" t="s">
        <v>399</v>
      </c>
      <c r="B124" t="s">
        <v>10</v>
      </c>
      <c r="C124" t="s">
        <v>1552</v>
      </c>
      <c r="D124" t="s">
        <v>106</v>
      </c>
      <c r="E124" t="s">
        <v>1553</v>
      </c>
      <c r="F124" t="s">
        <v>1533</v>
      </c>
      <c r="G124" t="s">
        <v>1534</v>
      </c>
    </row>
    <row r="125" spans="1:7" x14ac:dyDescent="0.25">
      <c r="A125" t="s">
        <v>432</v>
      </c>
      <c r="B125" t="s">
        <v>10</v>
      </c>
      <c r="C125" t="s">
        <v>433</v>
      </c>
      <c r="D125" t="s">
        <v>12</v>
      </c>
      <c r="E125" t="s">
        <v>1554</v>
      </c>
      <c r="F125" t="s">
        <v>1555</v>
      </c>
      <c r="G125" t="s">
        <v>1556</v>
      </c>
    </row>
    <row r="126" spans="1:7" x14ac:dyDescent="0.25">
      <c r="A126" t="s">
        <v>437</v>
      </c>
      <c r="B126" t="s">
        <v>10</v>
      </c>
      <c r="C126" t="s">
        <v>438</v>
      </c>
      <c r="D126" t="s">
        <v>12</v>
      </c>
      <c r="E126" t="s">
        <v>1557</v>
      </c>
      <c r="F126" t="s">
        <v>1555</v>
      </c>
      <c r="G126" t="s">
        <v>1556</v>
      </c>
    </row>
    <row r="127" spans="1:7" x14ac:dyDescent="0.25">
      <c r="A127" t="s">
        <v>441</v>
      </c>
      <c r="B127" t="s">
        <v>10</v>
      </c>
      <c r="C127" t="s">
        <v>1558</v>
      </c>
      <c r="D127" t="s">
        <v>106</v>
      </c>
      <c r="E127" t="s">
        <v>1559</v>
      </c>
      <c r="F127" t="s">
        <v>1472</v>
      </c>
      <c r="G127" t="s">
        <v>1473</v>
      </c>
    </row>
    <row r="128" spans="1:7" x14ac:dyDescent="0.25">
      <c r="A128" t="s">
        <v>441</v>
      </c>
      <c r="B128" t="s">
        <v>10</v>
      </c>
      <c r="C128" t="s">
        <v>1558</v>
      </c>
      <c r="D128" t="s">
        <v>106</v>
      </c>
      <c r="E128" t="s">
        <v>1560</v>
      </c>
      <c r="F128" t="s">
        <v>1472</v>
      </c>
      <c r="G128" t="s">
        <v>1473</v>
      </c>
    </row>
    <row r="129" spans="1:7" x14ac:dyDescent="0.25">
      <c r="A129" t="s">
        <v>441</v>
      </c>
      <c r="B129" t="s">
        <v>10</v>
      </c>
      <c r="C129" t="s">
        <v>1558</v>
      </c>
      <c r="D129" t="s">
        <v>106</v>
      </c>
      <c r="E129" t="s">
        <v>1561</v>
      </c>
      <c r="F129" t="s">
        <v>1472</v>
      </c>
      <c r="G129" t="s">
        <v>1473</v>
      </c>
    </row>
    <row r="130" spans="1:7" x14ac:dyDescent="0.25">
      <c r="A130" t="s">
        <v>441</v>
      </c>
      <c r="B130" t="s">
        <v>10</v>
      </c>
      <c r="C130" t="s">
        <v>458</v>
      </c>
      <c r="D130" t="s">
        <v>106</v>
      </c>
      <c r="E130" t="s">
        <v>1562</v>
      </c>
      <c r="F130" t="s">
        <v>1563</v>
      </c>
      <c r="G130" t="s">
        <v>1564</v>
      </c>
    </row>
    <row r="131" spans="1:7" x14ac:dyDescent="0.25">
      <c r="A131" t="s">
        <v>441</v>
      </c>
      <c r="B131" t="s">
        <v>10</v>
      </c>
      <c r="C131" t="s">
        <v>458</v>
      </c>
      <c r="D131" t="s">
        <v>106</v>
      </c>
      <c r="E131" t="s">
        <v>1565</v>
      </c>
      <c r="F131" t="s">
        <v>1563</v>
      </c>
      <c r="G131" t="s">
        <v>1564</v>
      </c>
    </row>
    <row r="132" spans="1:7" x14ac:dyDescent="0.25">
      <c r="A132" t="s">
        <v>441</v>
      </c>
      <c r="B132" t="s">
        <v>10</v>
      </c>
      <c r="C132" t="s">
        <v>458</v>
      </c>
      <c r="D132" t="s">
        <v>106</v>
      </c>
      <c r="E132" t="s">
        <v>1566</v>
      </c>
      <c r="F132" t="s">
        <v>1563</v>
      </c>
      <c r="G132" t="s">
        <v>1564</v>
      </c>
    </row>
    <row r="133" spans="1:7" x14ac:dyDescent="0.25">
      <c r="A133" t="s">
        <v>441</v>
      </c>
      <c r="B133" t="s">
        <v>10</v>
      </c>
      <c r="C133" t="s">
        <v>1567</v>
      </c>
      <c r="D133" t="s">
        <v>106</v>
      </c>
      <c r="E133" t="s">
        <v>1568</v>
      </c>
      <c r="F133" t="s">
        <v>1569</v>
      </c>
      <c r="G133" t="s">
        <v>1570</v>
      </c>
    </row>
    <row r="134" spans="1:7" x14ac:dyDescent="0.25">
      <c r="A134" t="s">
        <v>441</v>
      </c>
      <c r="B134" t="s">
        <v>10</v>
      </c>
      <c r="C134" t="s">
        <v>1567</v>
      </c>
      <c r="D134" t="s">
        <v>106</v>
      </c>
      <c r="E134" t="s">
        <v>1571</v>
      </c>
      <c r="F134" t="s">
        <v>1569</v>
      </c>
      <c r="G134" t="s">
        <v>1570</v>
      </c>
    </row>
    <row r="135" spans="1:7" x14ac:dyDescent="0.25">
      <c r="A135" t="s">
        <v>441</v>
      </c>
      <c r="B135" t="s">
        <v>10</v>
      </c>
      <c r="C135" t="s">
        <v>1567</v>
      </c>
      <c r="D135" t="s">
        <v>106</v>
      </c>
      <c r="E135" t="s">
        <v>1572</v>
      </c>
      <c r="F135" t="s">
        <v>1569</v>
      </c>
      <c r="G135" t="s">
        <v>1570</v>
      </c>
    </row>
    <row r="136" spans="1:7" x14ac:dyDescent="0.25">
      <c r="A136" t="s">
        <v>472</v>
      </c>
      <c r="B136" t="s">
        <v>10</v>
      </c>
      <c r="C136" t="s">
        <v>1573</v>
      </c>
      <c r="D136" t="s">
        <v>106</v>
      </c>
      <c r="E136" t="s">
        <v>1574</v>
      </c>
      <c r="F136" t="s">
        <v>1472</v>
      </c>
      <c r="G136" t="s">
        <v>1473</v>
      </c>
    </row>
    <row r="137" spans="1:7" x14ac:dyDescent="0.25">
      <c r="A137" t="s">
        <v>472</v>
      </c>
      <c r="B137" t="s">
        <v>10</v>
      </c>
      <c r="C137" t="s">
        <v>1573</v>
      </c>
      <c r="D137" t="s">
        <v>106</v>
      </c>
      <c r="E137" t="s">
        <v>1575</v>
      </c>
      <c r="F137" t="s">
        <v>1472</v>
      </c>
      <c r="G137" t="s">
        <v>1473</v>
      </c>
    </row>
    <row r="138" spans="1:7" x14ac:dyDescent="0.25">
      <c r="A138" t="s">
        <v>472</v>
      </c>
      <c r="B138" t="s">
        <v>10</v>
      </c>
      <c r="C138" t="s">
        <v>1573</v>
      </c>
      <c r="D138" t="s">
        <v>106</v>
      </c>
      <c r="E138" t="s">
        <v>1576</v>
      </c>
      <c r="F138" t="s">
        <v>1472</v>
      </c>
      <c r="G138" t="s">
        <v>1473</v>
      </c>
    </row>
    <row r="139" spans="1:7" x14ac:dyDescent="0.25">
      <c r="A139" t="s">
        <v>485</v>
      </c>
      <c r="B139" t="s">
        <v>10</v>
      </c>
      <c r="C139" t="s">
        <v>1041</v>
      </c>
      <c r="D139" t="s">
        <v>12</v>
      </c>
      <c r="E139" t="s">
        <v>1577</v>
      </c>
      <c r="F139" t="s">
        <v>1578</v>
      </c>
      <c r="G139" t="s">
        <v>1579</v>
      </c>
    </row>
    <row r="140" spans="1:7" x14ac:dyDescent="0.25">
      <c r="A140" t="s">
        <v>485</v>
      </c>
      <c r="B140" t="s">
        <v>10</v>
      </c>
      <c r="C140" t="s">
        <v>1041</v>
      </c>
      <c r="D140" t="s">
        <v>12</v>
      </c>
      <c r="E140" t="s">
        <v>1580</v>
      </c>
      <c r="F140" t="s">
        <v>1578</v>
      </c>
      <c r="G140" t="s">
        <v>1579</v>
      </c>
    </row>
    <row r="141" spans="1:7" x14ac:dyDescent="0.25">
      <c r="A141" t="s">
        <v>485</v>
      </c>
      <c r="B141" t="s">
        <v>10</v>
      </c>
      <c r="C141" t="s">
        <v>1041</v>
      </c>
      <c r="D141" t="s">
        <v>12</v>
      </c>
      <c r="E141" t="s">
        <v>1581</v>
      </c>
      <c r="F141" t="s">
        <v>1578</v>
      </c>
      <c r="G141" t="s">
        <v>1579</v>
      </c>
    </row>
    <row r="142" spans="1:7" x14ac:dyDescent="0.25">
      <c r="A142" t="s">
        <v>485</v>
      </c>
      <c r="B142" t="s">
        <v>10</v>
      </c>
      <c r="C142" t="s">
        <v>1044</v>
      </c>
      <c r="D142" t="s">
        <v>12</v>
      </c>
      <c r="E142" t="s">
        <v>1582</v>
      </c>
      <c r="F142" t="s">
        <v>1578</v>
      </c>
      <c r="G142" t="s">
        <v>1579</v>
      </c>
    </row>
    <row r="143" spans="1:7" x14ac:dyDescent="0.25">
      <c r="A143" t="s">
        <v>485</v>
      </c>
      <c r="B143" t="s">
        <v>10</v>
      </c>
      <c r="C143" t="s">
        <v>1044</v>
      </c>
      <c r="D143" t="s">
        <v>12</v>
      </c>
      <c r="E143" t="s">
        <v>1582</v>
      </c>
      <c r="F143" t="s">
        <v>1578</v>
      </c>
      <c r="G143" t="s">
        <v>1579</v>
      </c>
    </row>
    <row r="144" spans="1:7" x14ac:dyDescent="0.25">
      <c r="A144" t="s">
        <v>509</v>
      </c>
      <c r="B144" t="s">
        <v>10</v>
      </c>
      <c r="C144" t="s">
        <v>510</v>
      </c>
      <c r="D144" t="s">
        <v>12</v>
      </c>
      <c r="E144" t="s">
        <v>694</v>
      </c>
      <c r="F144" t="s">
        <v>1403</v>
      </c>
      <c r="G144" t="s">
        <v>1404</v>
      </c>
    </row>
    <row r="145" spans="1:7" x14ac:dyDescent="0.25">
      <c r="A145" t="s">
        <v>509</v>
      </c>
      <c r="B145" t="s">
        <v>10</v>
      </c>
      <c r="C145" t="s">
        <v>513</v>
      </c>
      <c r="D145" t="s">
        <v>12</v>
      </c>
      <c r="E145" t="s">
        <v>700</v>
      </c>
      <c r="F145" t="s">
        <v>1403</v>
      </c>
      <c r="G145" t="s">
        <v>1404</v>
      </c>
    </row>
    <row r="146" spans="1:7" x14ac:dyDescent="0.25">
      <c r="A146" t="s">
        <v>509</v>
      </c>
      <c r="B146" t="s">
        <v>10</v>
      </c>
      <c r="C146" t="s">
        <v>510</v>
      </c>
      <c r="D146" t="s">
        <v>12</v>
      </c>
      <c r="E146" t="s">
        <v>1583</v>
      </c>
      <c r="F146" t="s">
        <v>1403</v>
      </c>
      <c r="G146" t="s">
        <v>1404</v>
      </c>
    </row>
    <row r="147" spans="1:7" x14ac:dyDescent="0.25">
      <c r="A147" t="s">
        <v>509</v>
      </c>
      <c r="B147" t="s">
        <v>10</v>
      </c>
      <c r="C147" t="s">
        <v>513</v>
      </c>
      <c r="D147" t="s">
        <v>12</v>
      </c>
      <c r="E147" t="s">
        <v>1584</v>
      </c>
      <c r="F147" t="s">
        <v>1403</v>
      </c>
      <c r="G147" t="s">
        <v>1404</v>
      </c>
    </row>
    <row r="148" spans="1:7" x14ac:dyDescent="0.25">
      <c r="A148" t="s">
        <v>509</v>
      </c>
      <c r="B148" t="s">
        <v>10</v>
      </c>
      <c r="C148" t="s">
        <v>1049</v>
      </c>
      <c r="D148" t="s">
        <v>12</v>
      </c>
      <c r="E148" t="s">
        <v>1585</v>
      </c>
      <c r="F148" t="s">
        <v>1408</v>
      </c>
      <c r="G148" t="s">
        <v>1409</v>
      </c>
    </row>
    <row r="149" spans="1:7" x14ac:dyDescent="0.25">
      <c r="A149" t="s">
        <v>509</v>
      </c>
      <c r="B149" t="s">
        <v>10</v>
      </c>
      <c r="C149" t="s">
        <v>1049</v>
      </c>
      <c r="D149" t="s">
        <v>12</v>
      </c>
      <c r="E149" t="s">
        <v>1586</v>
      </c>
      <c r="F149" t="s">
        <v>1408</v>
      </c>
      <c r="G149" t="s">
        <v>1409</v>
      </c>
    </row>
    <row r="150" spans="1:7" x14ac:dyDescent="0.25">
      <c r="A150" t="s">
        <v>509</v>
      </c>
      <c r="B150" t="s">
        <v>10</v>
      </c>
      <c r="C150" t="s">
        <v>1049</v>
      </c>
      <c r="D150" t="s">
        <v>12</v>
      </c>
      <c r="E150" t="s">
        <v>1587</v>
      </c>
      <c r="F150" t="s">
        <v>1408</v>
      </c>
      <c r="G150" t="s">
        <v>1409</v>
      </c>
    </row>
    <row r="151" spans="1:7" x14ac:dyDescent="0.25">
      <c r="A151" t="s">
        <v>509</v>
      </c>
      <c r="B151" t="s">
        <v>10</v>
      </c>
      <c r="C151" t="s">
        <v>515</v>
      </c>
      <c r="D151" t="s">
        <v>12</v>
      </c>
      <c r="E151" t="s">
        <v>1588</v>
      </c>
      <c r="F151" t="s">
        <v>1408</v>
      </c>
      <c r="G151" t="s">
        <v>1409</v>
      </c>
    </row>
    <row r="152" spans="1:7" x14ac:dyDescent="0.25">
      <c r="A152" t="s">
        <v>509</v>
      </c>
      <c r="B152" t="s">
        <v>10</v>
      </c>
      <c r="C152" t="s">
        <v>515</v>
      </c>
      <c r="D152" t="s">
        <v>12</v>
      </c>
      <c r="E152" t="s">
        <v>1589</v>
      </c>
      <c r="F152" t="s">
        <v>1408</v>
      </c>
      <c r="G152" t="s">
        <v>1409</v>
      </c>
    </row>
    <row r="153" spans="1:7" x14ac:dyDescent="0.25">
      <c r="A153" t="s">
        <v>509</v>
      </c>
      <c r="B153" t="s">
        <v>10</v>
      </c>
      <c r="C153" t="s">
        <v>515</v>
      </c>
      <c r="D153" t="s">
        <v>12</v>
      </c>
      <c r="E153" t="s">
        <v>1590</v>
      </c>
      <c r="F153" t="s">
        <v>1408</v>
      </c>
      <c r="G153" t="s">
        <v>1409</v>
      </c>
    </row>
    <row r="154" spans="1:7" x14ac:dyDescent="0.25">
      <c r="A154" t="s">
        <v>509</v>
      </c>
      <c r="B154" t="s">
        <v>10</v>
      </c>
      <c r="C154" t="s">
        <v>1051</v>
      </c>
      <c r="D154" t="s">
        <v>12</v>
      </c>
      <c r="E154" t="s">
        <v>1591</v>
      </c>
      <c r="F154" t="s">
        <v>1408</v>
      </c>
      <c r="G154" t="s">
        <v>1409</v>
      </c>
    </row>
    <row r="155" spans="1:7" x14ac:dyDescent="0.25">
      <c r="A155" t="s">
        <v>509</v>
      </c>
      <c r="B155" t="s">
        <v>10</v>
      </c>
      <c r="C155" t="s">
        <v>1051</v>
      </c>
      <c r="D155" t="s">
        <v>12</v>
      </c>
      <c r="E155" t="s">
        <v>1592</v>
      </c>
      <c r="F155" t="s">
        <v>1408</v>
      </c>
      <c r="G155" t="s">
        <v>1409</v>
      </c>
    </row>
    <row r="156" spans="1:7" x14ac:dyDescent="0.25">
      <c r="A156" t="s">
        <v>509</v>
      </c>
      <c r="B156" t="s">
        <v>10</v>
      </c>
      <c r="C156" t="s">
        <v>1051</v>
      </c>
      <c r="D156" t="s">
        <v>12</v>
      </c>
      <c r="E156" t="s">
        <v>1593</v>
      </c>
      <c r="F156" t="s">
        <v>1408</v>
      </c>
      <c r="G156" t="s">
        <v>1409</v>
      </c>
    </row>
    <row r="157" spans="1:7" x14ac:dyDescent="0.25">
      <c r="A157" t="s">
        <v>509</v>
      </c>
      <c r="B157" t="s">
        <v>10</v>
      </c>
      <c r="C157" t="s">
        <v>520</v>
      </c>
      <c r="D157" t="s">
        <v>12</v>
      </c>
      <c r="E157" t="s">
        <v>1594</v>
      </c>
      <c r="F157" t="s">
        <v>1408</v>
      </c>
      <c r="G157" t="s">
        <v>1409</v>
      </c>
    </row>
    <row r="158" spans="1:7" x14ac:dyDescent="0.25">
      <c r="A158" t="s">
        <v>509</v>
      </c>
      <c r="B158" t="s">
        <v>10</v>
      </c>
      <c r="C158" t="s">
        <v>520</v>
      </c>
      <c r="D158" t="s">
        <v>12</v>
      </c>
      <c r="E158" t="s">
        <v>1595</v>
      </c>
      <c r="F158" t="s">
        <v>1408</v>
      </c>
      <c r="G158" t="s">
        <v>1409</v>
      </c>
    </row>
    <row r="159" spans="1:7" x14ac:dyDescent="0.25">
      <c r="A159" t="s">
        <v>509</v>
      </c>
      <c r="B159" t="s">
        <v>10</v>
      </c>
      <c r="C159" t="s">
        <v>520</v>
      </c>
      <c r="D159" t="s">
        <v>12</v>
      </c>
      <c r="E159" t="s">
        <v>1596</v>
      </c>
      <c r="F159" t="s">
        <v>1408</v>
      </c>
      <c r="G159" t="s">
        <v>1409</v>
      </c>
    </row>
    <row r="160" spans="1:7" x14ac:dyDescent="0.25">
      <c r="A160" t="s">
        <v>509</v>
      </c>
      <c r="B160" t="s">
        <v>10</v>
      </c>
      <c r="C160" t="s">
        <v>1053</v>
      </c>
      <c r="D160" t="s">
        <v>12</v>
      </c>
      <c r="E160" t="s">
        <v>1597</v>
      </c>
      <c r="F160" t="s">
        <v>1408</v>
      </c>
      <c r="G160" t="s">
        <v>1409</v>
      </c>
    </row>
    <row r="161" spans="1:7" x14ac:dyDescent="0.25">
      <c r="A161" t="s">
        <v>509</v>
      </c>
      <c r="B161" t="s">
        <v>10</v>
      </c>
      <c r="C161" t="s">
        <v>1055</v>
      </c>
      <c r="D161" t="s">
        <v>12</v>
      </c>
      <c r="E161" t="s">
        <v>1598</v>
      </c>
      <c r="F161" t="s">
        <v>1408</v>
      </c>
      <c r="G161" t="s">
        <v>1409</v>
      </c>
    </row>
    <row r="162" spans="1:7" x14ac:dyDescent="0.25">
      <c r="A162" t="s">
        <v>509</v>
      </c>
      <c r="B162" t="s">
        <v>10</v>
      </c>
      <c r="C162" t="s">
        <v>530</v>
      </c>
      <c r="D162" t="s">
        <v>12</v>
      </c>
      <c r="E162" t="s">
        <v>197</v>
      </c>
      <c r="F162" t="s">
        <v>1408</v>
      </c>
      <c r="G162" t="s">
        <v>1409</v>
      </c>
    </row>
    <row r="163" spans="1:7" x14ac:dyDescent="0.25">
      <c r="A163" t="s">
        <v>509</v>
      </c>
      <c r="B163" t="s">
        <v>10</v>
      </c>
      <c r="C163" t="s">
        <v>534</v>
      </c>
      <c r="D163" t="s">
        <v>12</v>
      </c>
      <c r="E163" t="s">
        <v>282</v>
      </c>
      <c r="F163" t="s">
        <v>1408</v>
      </c>
      <c r="G163" t="s">
        <v>1409</v>
      </c>
    </row>
    <row r="164" spans="1:7" x14ac:dyDescent="0.25">
      <c r="A164" t="s">
        <v>535</v>
      </c>
      <c r="B164" t="s">
        <v>10</v>
      </c>
      <c r="C164" t="s">
        <v>1599</v>
      </c>
      <c r="D164" t="s">
        <v>77</v>
      </c>
      <c r="E164" t="s">
        <v>1600</v>
      </c>
      <c r="F164" t="s">
        <v>1455</v>
      </c>
      <c r="G164" t="s">
        <v>1456</v>
      </c>
    </row>
    <row r="165" spans="1:7" x14ac:dyDescent="0.25">
      <c r="A165" t="s">
        <v>535</v>
      </c>
      <c r="B165" t="s">
        <v>10</v>
      </c>
      <c r="C165" t="s">
        <v>1601</v>
      </c>
      <c r="D165" t="s">
        <v>77</v>
      </c>
      <c r="E165" t="s">
        <v>737</v>
      </c>
      <c r="F165" t="s">
        <v>1455</v>
      </c>
      <c r="G165" t="s">
        <v>1456</v>
      </c>
    </row>
    <row r="166" spans="1:7" x14ac:dyDescent="0.25">
      <c r="A166" t="s">
        <v>535</v>
      </c>
      <c r="B166" t="s">
        <v>10</v>
      </c>
      <c r="C166" t="s">
        <v>1602</v>
      </c>
      <c r="D166" t="s">
        <v>77</v>
      </c>
      <c r="E166" t="s">
        <v>1603</v>
      </c>
      <c r="F166" t="s">
        <v>1455</v>
      </c>
      <c r="G166" t="s">
        <v>1456</v>
      </c>
    </row>
    <row r="167" spans="1:7" x14ac:dyDescent="0.25">
      <c r="A167" t="s">
        <v>552</v>
      </c>
      <c r="B167" t="s">
        <v>10</v>
      </c>
      <c r="C167" t="s">
        <v>1604</v>
      </c>
      <c r="D167" t="s">
        <v>106</v>
      </c>
      <c r="E167" t="s">
        <v>1605</v>
      </c>
      <c r="F167" t="s">
        <v>1606</v>
      </c>
      <c r="G167" t="s">
        <v>1607</v>
      </c>
    </row>
    <row r="168" spans="1:7" x14ac:dyDescent="0.25">
      <c r="A168" t="s">
        <v>552</v>
      </c>
      <c r="B168" t="s">
        <v>10</v>
      </c>
      <c r="C168" t="s">
        <v>1608</v>
      </c>
      <c r="D168" t="s">
        <v>106</v>
      </c>
      <c r="E168" t="s">
        <v>1609</v>
      </c>
      <c r="F168" t="s">
        <v>1606</v>
      </c>
      <c r="G168" t="s">
        <v>1607</v>
      </c>
    </row>
    <row r="169" spans="1:7" x14ac:dyDescent="0.25">
      <c r="A169" t="s">
        <v>552</v>
      </c>
      <c r="B169" t="s">
        <v>10</v>
      </c>
      <c r="C169" t="s">
        <v>1610</v>
      </c>
      <c r="D169" t="s">
        <v>106</v>
      </c>
      <c r="E169" t="s">
        <v>1611</v>
      </c>
      <c r="F169" t="s">
        <v>1606</v>
      </c>
      <c r="G169" t="s">
        <v>1607</v>
      </c>
    </row>
    <row r="170" spans="1:7" x14ac:dyDescent="0.25">
      <c r="A170" t="s">
        <v>573</v>
      </c>
      <c r="B170" t="s">
        <v>10</v>
      </c>
      <c r="C170" t="s">
        <v>1612</v>
      </c>
      <c r="D170" t="s">
        <v>106</v>
      </c>
      <c r="E170" t="s">
        <v>1613</v>
      </c>
      <c r="F170" t="s">
        <v>1614</v>
      </c>
      <c r="G170" t="s">
        <v>1615</v>
      </c>
    </row>
    <row r="171" spans="1:7" x14ac:dyDescent="0.25">
      <c r="A171" t="s">
        <v>573</v>
      </c>
      <c r="B171" t="s">
        <v>10</v>
      </c>
      <c r="C171" t="s">
        <v>1612</v>
      </c>
      <c r="D171" t="s">
        <v>106</v>
      </c>
      <c r="E171" t="s">
        <v>1616</v>
      </c>
      <c r="F171" t="s">
        <v>1614</v>
      </c>
      <c r="G171" t="s">
        <v>1615</v>
      </c>
    </row>
    <row r="172" spans="1:7" x14ac:dyDescent="0.25">
      <c r="A172" t="s">
        <v>573</v>
      </c>
      <c r="B172" t="s">
        <v>10</v>
      </c>
      <c r="C172" t="s">
        <v>1612</v>
      </c>
      <c r="D172" t="s">
        <v>106</v>
      </c>
      <c r="E172" t="s">
        <v>1617</v>
      </c>
      <c r="F172" t="s">
        <v>1614</v>
      </c>
      <c r="G172" t="s">
        <v>1615</v>
      </c>
    </row>
    <row r="173" spans="1:7" x14ac:dyDescent="0.25">
      <c r="A173" t="s">
        <v>580</v>
      </c>
      <c r="B173" t="s">
        <v>10</v>
      </c>
      <c r="C173" t="s">
        <v>1618</v>
      </c>
      <c r="D173" t="s">
        <v>106</v>
      </c>
      <c r="E173" t="s">
        <v>1619</v>
      </c>
      <c r="F173" t="s">
        <v>1620</v>
      </c>
      <c r="G173" t="s">
        <v>1621</v>
      </c>
    </row>
    <row r="174" spans="1:7" x14ac:dyDescent="0.25">
      <c r="A174" t="s">
        <v>580</v>
      </c>
      <c r="B174" t="s">
        <v>10</v>
      </c>
      <c r="C174" t="s">
        <v>1622</v>
      </c>
      <c r="D174" t="s">
        <v>106</v>
      </c>
      <c r="E174" t="s">
        <v>1623</v>
      </c>
      <c r="F174" t="s">
        <v>1620</v>
      </c>
      <c r="G174" t="s">
        <v>1621</v>
      </c>
    </row>
    <row r="175" spans="1:7" x14ac:dyDescent="0.25">
      <c r="A175" t="s">
        <v>580</v>
      </c>
      <c r="B175" t="s">
        <v>10</v>
      </c>
      <c r="C175" t="s">
        <v>1624</v>
      </c>
      <c r="D175" t="s">
        <v>106</v>
      </c>
      <c r="E175" t="s">
        <v>1625</v>
      </c>
      <c r="F175" t="s">
        <v>1620</v>
      </c>
      <c r="G175" t="s">
        <v>1621</v>
      </c>
    </row>
    <row r="176" spans="1:7" x14ac:dyDescent="0.25">
      <c r="A176" t="s">
        <v>589</v>
      </c>
      <c r="B176" t="s">
        <v>10</v>
      </c>
      <c r="C176" t="s">
        <v>1626</v>
      </c>
      <c r="D176" t="s">
        <v>106</v>
      </c>
      <c r="E176" t="s">
        <v>1627</v>
      </c>
      <c r="F176" t="s">
        <v>1628</v>
      </c>
      <c r="G176" t="s">
        <v>1629</v>
      </c>
    </row>
    <row r="177" spans="1:7" x14ac:dyDescent="0.25">
      <c r="A177" t="s">
        <v>589</v>
      </c>
      <c r="B177" t="s">
        <v>10</v>
      </c>
      <c r="C177" t="s">
        <v>1626</v>
      </c>
      <c r="D177" t="s">
        <v>106</v>
      </c>
      <c r="E177" t="s">
        <v>1630</v>
      </c>
      <c r="F177" t="s">
        <v>1628</v>
      </c>
      <c r="G177" t="s">
        <v>1629</v>
      </c>
    </row>
    <row r="178" spans="1:7" x14ac:dyDescent="0.25">
      <c r="A178" t="s">
        <v>589</v>
      </c>
      <c r="B178" t="s">
        <v>10</v>
      </c>
      <c r="C178" t="s">
        <v>1631</v>
      </c>
      <c r="D178" t="s">
        <v>106</v>
      </c>
      <c r="E178" t="s">
        <v>1632</v>
      </c>
      <c r="F178" t="s">
        <v>1628</v>
      </c>
      <c r="G178" t="s">
        <v>1629</v>
      </c>
    </row>
    <row r="179" spans="1:7" x14ac:dyDescent="0.25">
      <c r="A179" t="s">
        <v>589</v>
      </c>
      <c r="B179" t="s">
        <v>10</v>
      </c>
      <c r="C179" t="s">
        <v>1631</v>
      </c>
      <c r="D179" t="s">
        <v>106</v>
      </c>
      <c r="E179" t="s">
        <v>1633</v>
      </c>
      <c r="F179" t="s">
        <v>1628</v>
      </c>
      <c r="G179" t="s">
        <v>1629</v>
      </c>
    </row>
    <row r="180" spans="1:7" x14ac:dyDescent="0.25">
      <c r="A180" t="s">
        <v>597</v>
      </c>
      <c r="B180" t="s">
        <v>10</v>
      </c>
      <c r="C180" t="s">
        <v>1634</v>
      </c>
      <c r="D180" t="s">
        <v>106</v>
      </c>
      <c r="E180" t="s">
        <v>1635</v>
      </c>
      <c r="F180" t="s">
        <v>1628</v>
      </c>
      <c r="G180" t="s">
        <v>1629</v>
      </c>
    </row>
    <row r="181" spans="1:7" x14ac:dyDescent="0.25">
      <c r="A181" t="s">
        <v>597</v>
      </c>
      <c r="B181" t="s">
        <v>10</v>
      </c>
      <c r="C181" t="s">
        <v>1634</v>
      </c>
      <c r="D181" t="s">
        <v>106</v>
      </c>
      <c r="E181" t="s">
        <v>1633</v>
      </c>
      <c r="F181" t="s">
        <v>1628</v>
      </c>
      <c r="G181" t="s">
        <v>1629</v>
      </c>
    </row>
    <row r="182" spans="1:7" x14ac:dyDescent="0.25">
      <c r="A182" t="s">
        <v>597</v>
      </c>
      <c r="B182" t="s">
        <v>10</v>
      </c>
      <c r="C182" t="s">
        <v>1636</v>
      </c>
      <c r="D182" t="s">
        <v>106</v>
      </c>
      <c r="E182" t="s">
        <v>1637</v>
      </c>
      <c r="F182" t="s">
        <v>1628</v>
      </c>
      <c r="G182" t="s">
        <v>1629</v>
      </c>
    </row>
    <row r="183" spans="1:7" x14ac:dyDescent="0.25">
      <c r="A183" t="s">
        <v>597</v>
      </c>
      <c r="B183" t="s">
        <v>10</v>
      </c>
      <c r="C183" t="s">
        <v>1636</v>
      </c>
      <c r="D183" t="s">
        <v>106</v>
      </c>
      <c r="E183" t="s">
        <v>1630</v>
      </c>
      <c r="F183" t="s">
        <v>1628</v>
      </c>
      <c r="G183" t="s">
        <v>1629</v>
      </c>
    </row>
    <row r="184" spans="1:7" x14ac:dyDescent="0.25">
      <c r="A184" t="s">
        <v>609</v>
      </c>
      <c r="B184" t="s">
        <v>10</v>
      </c>
      <c r="C184" t="s">
        <v>1638</v>
      </c>
      <c r="D184" t="s">
        <v>106</v>
      </c>
      <c r="E184" t="s">
        <v>1639</v>
      </c>
      <c r="F184" t="s">
        <v>1620</v>
      </c>
      <c r="G184" t="s">
        <v>1621</v>
      </c>
    </row>
    <row r="185" spans="1:7" x14ac:dyDescent="0.25">
      <c r="A185" t="s">
        <v>609</v>
      </c>
      <c r="B185" t="s">
        <v>10</v>
      </c>
      <c r="C185" t="s">
        <v>1638</v>
      </c>
      <c r="D185" t="s">
        <v>106</v>
      </c>
      <c r="E185" t="s">
        <v>1637</v>
      </c>
      <c r="F185" t="s">
        <v>1620</v>
      </c>
      <c r="G185" t="s">
        <v>1621</v>
      </c>
    </row>
    <row r="186" spans="1:7" x14ac:dyDescent="0.25">
      <c r="A186" t="s">
        <v>609</v>
      </c>
      <c r="B186" t="s">
        <v>10</v>
      </c>
      <c r="C186" t="s">
        <v>1638</v>
      </c>
      <c r="D186" t="s">
        <v>106</v>
      </c>
      <c r="E186" t="s">
        <v>1611</v>
      </c>
      <c r="F186" t="s">
        <v>1620</v>
      </c>
      <c r="G186" t="s">
        <v>1621</v>
      </c>
    </row>
    <row r="187" spans="1:7" x14ac:dyDescent="0.25">
      <c r="A187" t="s">
        <v>609</v>
      </c>
      <c r="B187" t="s">
        <v>10</v>
      </c>
      <c r="C187" t="s">
        <v>1640</v>
      </c>
      <c r="D187" t="s">
        <v>106</v>
      </c>
      <c r="E187" t="s">
        <v>1639</v>
      </c>
      <c r="F187" t="s">
        <v>1620</v>
      </c>
      <c r="G187" t="s">
        <v>1621</v>
      </c>
    </row>
    <row r="188" spans="1:7" x14ac:dyDescent="0.25">
      <c r="A188" t="s">
        <v>609</v>
      </c>
      <c r="B188" t="s">
        <v>10</v>
      </c>
      <c r="C188" t="s">
        <v>1640</v>
      </c>
      <c r="D188" t="s">
        <v>106</v>
      </c>
      <c r="E188" t="s">
        <v>1611</v>
      </c>
      <c r="F188" t="s">
        <v>1620</v>
      </c>
      <c r="G188" t="s">
        <v>1621</v>
      </c>
    </row>
    <row r="189" spans="1:7" x14ac:dyDescent="0.25">
      <c r="A189" t="s">
        <v>609</v>
      </c>
      <c r="B189" t="s">
        <v>10</v>
      </c>
      <c r="C189" t="s">
        <v>1640</v>
      </c>
      <c r="D189" t="s">
        <v>106</v>
      </c>
      <c r="E189" t="s">
        <v>1637</v>
      </c>
      <c r="F189" t="s">
        <v>1620</v>
      </c>
      <c r="G189" t="s">
        <v>1621</v>
      </c>
    </row>
    <row r="190" spans="1:7" x14ac:dyDescent="0.25">
      <c r="A190" t="s">
        <v>619</v>
      </c>
      <c r="B190" t="s">
        <v>10</v>
      </c>
      <c r="C190" t="s">
        <v>1641</v>
      </c>
      <c r="D190" t="s">
        <v>106</v>
      </c>
      <c r="E190" t="s">
        <v>1642</v>
      </c>
      <c r="F190" t="s">
        <v>1620</v>
      </c>
      <c r="G190" t="s">
        <v>1621</v>
      </c>
    </row>
    <row r="191" spans="1:7" x14ac:dyDescent="0.25">
      <c r="A191" t="s">
        <v>619</v>
      </c>
      <c r="B191" t="s">
        <v>10</v>
      </c>
      <c r="C191" t="s">
        <v>1641</v>
      </c>
      <c r="D191" t="s">
        <v>106</v>
      </c>
      <c r="E191" t="s">
        <v>1643</v>
      </c>
      <c r="F191" t="s">
        <v>1620</v>
      </c>
      <c r="G191" t="s">
        <v>1621</v>
      </c>
    </row>
    <row r="192" spans="1:7" x14ac:dyDescent="0.25">
      <c r="A192" t="s">
        <v>619</v>
      </c>
      <c r="B192" t="s">
        <v>10</v>
      </c>
      <c r="C192" t="s">
        <v>1641</v>
      </c>
      <c r="D192" t="s">
        <v>106</v>
      </c>
      <c r="E192" t="s">
        <v>1644</v>
      </c>
      <c r="F192" t="s">
        <v>1620</v>
      </c>
      <c r="G192" t="s">
        <v>1621</v>
      </c>
    </row>
    <row r="193" spans="1:7" x14ac:dyDescent="0.25">
      <c r="A193" t="s">
        <v>627</v>
      </c>
      <c r="B193" t="s">
        <v>10</v>
      </c>
      <c r="C193" t="s">
        <v>1645</v>
      </c>
      <c r="D193" t="s">
        <v>106</v>
      </c>
      <c r="E193" t="s">
        <v>709</v>
      </c>
      <c r="F193" t="s">
        <v>1646</v>
      </c>
      <c r="G193" t="s">
        <v>1647</v>
      </c>
    </row>
    <row r="194" spans="1:7" x14ac:dyDescent="0.25">
      <c r="A194" t="s">
        <v>627</v>
      </c>
      <c r="B194" t="s">
        <v>10</v>
      </c>
      <c r="C194" t="s">
        <v>1645</v>
      </c>
      <c r="D194" t="s">
        <v>106</v>
      </c>
      <c r="E194" t="s">
        <v>1648</v>
      </c>
      <c r="F194" t="s">
        <v>1646</v>
      </c>
      <c r="G194" t="s">
        <v>1647</v>
      </c>
    </row>
    <row r="195" spans="1:7" x14ac:dyDescent="0.25">
      <c r="A195" t="s">
        <v>627</v>
      </c>
      <c r="B195" t="s">
        <v>10</v>
      </c>
      <c r="C195" t="s">
        <v>1645</v>
      </c>
      <c r="D195" t="s">
        <v>106</v>
      </c>
      <c r="E195" t="s">
        <v>1649</v>
      </c>
      <c r="F195" t="s">
        <v>1646</v>
      </c>
      <c r="G195" t="s">
        <v>1647</v>
      </c>
    </row>
    <row r="196" spans="1:7" x14ac:dyDescent="0.25">
      <c r="A196" t="s">
        <v>637</v>
      </c>
      <c r="B196" t="s">
        <v>10</v>
      </c>
      <c r="C196" t="s">
        <v>1645</v>
      </c>
      <c r="D196" t="s">
        <v>106</v>
      </c>
      <c r="E196" t="s">
        <v>709</v>
      </c>
      <c r="F196" t="s">
        <v>1646</v>
      </c>
      <c r="G196" t="s">
        <v>1647</v>
      </c>
    </row>
    <row r="197" spans="1:7" x14ac:dyDescent="0.25">
      <c r="A197" t="s">
        <v>637</v>
      </c>
      <c r="B197" t="s">
        <v>10</v>
      </c>
      <c r="C197" t="s">
        <v>1645</v>
      </c>
      <c r="D197" t="s">
        <v>106</v>
      </c>
      <c r="E197" t="s">
        <v>1648</v>
      </c>
      <c r="F197" t="s">
        <v>1646</v>
      </c>
      <c r="G197" t="s">
        <v>1647</v>
      </c>
    </row>
    <row r="198" spans="1:7" x14ac:dyDescent="0.25">
      <c r="A198" t="s">
        <v>637</v>
      </c>
      <c r="B198" t="s">
        <v>10</v>
      </c>
      <c r="C198" t="s">
        <v>1645</v>
      </c>
      <c r="D198" t="s">
        <v>106</v>
      </c>
      <c r="E198" t="s">
        <v>1649</v>
      </c>
      <c r="F198" t="s">
        <v>1646</v>
      </c>
      <c r="G198" t="s">
        <v>1647</v>
      </c>
    </row>
    <row r="199" spans="1:7" x14ac:dyDescent="0.25">
      <c r="A199" t="s">
        <v>638</v>
      </c>
      <c r="B199" t="s">
        <v>10</v>
      </c>
      <c r="C199" t="s">
        <v>1650</v>
      </c>
      <c r="D199" t="s">
        <v>106</v>
      </c>
      <c r="E199" t="s">
        <v>1651</v>
      </c>
      <c r="F199" t="s">
        <v>1646</v>
      </c>
      <c r="G199" t="s">
        <v>1647</v>
      </c>
    </row>
    <row r="200" spans="1:7" x14ac:dyDescent="0.25">
      <c r="A200" t="s">
        <v>638</v>
      </c>
      <c r="B200" t="s">
        <v>10</v>
      </c>
      <c r="C200" t="s">
        <v>1650</v>
      </c>
      <c r="D200" t="s">
        <v>106</v>
      </c>
      <c r="E200" t="s">
        <v>1652</v>
      </c>
      <c r="F200" t="s">
        <v>1646</v>
      </c>
      <c r="G200" t="s">
        <v>1647</v>
      </c>
    </row>
    <row r="201" spans="1:7" x14ac:dyDescent="0.25">
      <c r="A201" t="s">
        <v>638</v>
      </c>
      <c r="B201" t="s">
        <v>10</v>
      </c>
      <c r="C201" t="s">
        <v>1650</v>
      </c>
      <c r="D201" t="s">
        <v>106</v>
      </c>
      <c r="E201" t="s">
        <v>59</v>
      </c>
      <c r="F201" t="s">
        <v>1646</v>
      </c>
      <c r="G201" t="s">
        <v>1647</v>
      </c>
    </row>
    <row r="202" spans="1:7" x14ac:dyDescent="0.25">
      <c r="A202" t="s">
        <v>647</v>
      </c>
      <c r="B202" t="s">
        <v>10</v>
      </c>
      <c r="C202" t="s">
        <v>648</v>
      </c>
      <c r="D202" t="s">
        <v>1082</v>
      </c>
      <c r="E202" t="s">
        <v>508</v>
      </c>
      <c r="F202" t="s">
        <v>1653</v>
      </c>
      <c r="G202" t="s">
        <v>1654</v>
      </c>
    </row>
    <row r="203" spans="1:7" x14ac:dyDescent="0.25">
      <c r="A203" t="s">
        <v>647</v>
      </c>
      <c r="B203" t="s">
        <v>10</v>
      </c>
      <c r="C203" t="s">
        <v>648</v>
      </c>
      <c r="D203" t="s">
        <v>1082</v>
      </c>
      <c r="E203" t="s">
        <v>508</v>
      </c>
      <c r="F203" t="s">
        <v>1653</v>
      </c>
      <c r="G203" t="s">
        <v>1654</v>
      </c>
    </row>
    <row r="204" spans="1:7" x14ac:dyDescent="0.25">
      <c r="A204" t="s">
        <v>647</v>
      </c>
      <c r="B204" t="s">
        <v>10</v>
      </c>
      <c r="C204" t="s">
        <v>1655</v>
      </c>
      <c r="D204" t="s">
        <v>1082</v>
      </c>
      <c r="E204" t="s">
        <v>174</v>
      </c>
      <c r="F204" t="s">
        <v>1653</v>
      </c>
      <c r="G204" t="s">
        <v>1654</v>
      </c>
    </row>
    <row r="205" spans="1:7" x14ac:dyDescent="0.25">
      <c r="A205" t="s">
        <v>651</v>
      </c>
      <c r="B205" t="s">
        <v>10</v>
      </c>
      <c r="C205" t="s">
        <v>1087</v>
      </c>
      <c r="D205" t="s">
        <v>106</v>
      </c>
      <c r="E205" t="s">
        <v>1623</v>
      </c>
      <c r="F205" t="s">
        <v>1646</v>
      </c>
      <c r="G205" t="s">
        <v>1647</v>
      </c>
    </row>
    <row r="206" spans="1:7" x14ac:dyDescent="0.25">
      <c r="A206" t="s">
        <v>651</v>
      </c>
      <c r="B206" t="s">
        <v>10</v>
      </c>
      <c r="C206" t="s">
        <v>1093</v>
      </c>
      <c r="D206" t="s">
        <v>106</v>
      </c>
      <c r="E206" t="s">
        <v>1656</v>
      </c>
      <c r="F206" t="s">
        <v>1646</v>
      </c>
      <c r="G206" t="s">
        <v>1647</v>
      </c>
    </row>
    <row r="207" spans="1:7" x14ac:dyDescent="0.25">
      <c r="A207" t="s">
        <v>651</v>
      </c>
      <c r="B207" t="s">
        <v>10</v>
      </c>
      <c r="C207" t="s">
        <v>1087</v>
      </c>
      <c r="D207" t="s">
        <v>106</v>
      </c>
      <c r="E207" t="s">
        <v>1657</v>
      </c>
      <c r="F207" t="s">
        <v>1646</v>
      </c>
      <c r="G207" t="s">
        <v>1647</v>
      </c>
    </row>
    <row r="208" spans="1:7" x14ac:dyDescent="0.25">
      <c r="A208" t="s">
        <v>661</v>
      </c>
      <c r="B208" t="s">
        <v>10</v>
      </c>
      <c r="C208" t="s">
        <v>1658</v>
      </c>
      <c r="D208" t="s">
        <v>106</v>
      </c>
      <c r="E208" t="s">
        <v>1659</v>
      </c>
      <c r="F208" t="s">
        <v>1472</v>
      </c>
      <c r="G208" t="s">
        <v>1473</v>
      </c>
    </row>
    <row r="209" spans="1:7" x14ac:dyDescent="0.25">
      <c r="A209" t="s">
        <v>661</v>
      </c>
      <c r="B209" t="s">
        <v>10</v>
      </c>
      <c r="C209" t="s">
        <v>1660</v>
      </c>
      <c r="D209" t="s">
        <v>106</v>
      </c>
      <c r="E209" t="s">
        <v>1661</v>
      </c>
      <c r="F209" t="s">
        <v>1472</v>
      </c>
      <c r="G209" t="s">
        <v>1473</v>
      </c>
    </row>
    <row r="210" spans="1:7" x14ac:dyDescent="0.25">
      <c r="A210" t="s">
        <v>661</v>
      </c>
      <c r="B210" t="s">
        <v>10</v>
      </c>
      <c r="C210" t="s">
        <v>1662</v>
      </c>
      <c r="D210" t="s">
        <v>106</v>
      </c>
      <c r="E210" t="s">
        <v>1663</v>
      </c>
      <c r="F210" t="s">
        <v>1472</v>
      </c>
      <c r="G210" t="s">
        <v>1473</v>
      </c>
    </row>
    <row r="211" spans="1:7" x14ac:dyDescent="0.25">
      <c r="A211" t="s">
        <v>677</v>
      </c>
      <c r="B211" t="s">
        <v>10</v>
      </c>
      <c r="C211" t="s">
        <v>433</v>
      </c>
      <c r="D211" t="s">
        <v>12</v>
      </c>
      <c r="E211" t="s">
        <v>1554</v>
      </c>
      <c r="F211" t="s">
        <v>1555</v>
      </c>
      <c r="G211" t="s">
        <v>1556</v>
      </c>
    </row>
    <row r="212" spans="1:7" x14ac:dyDescent="0.25">
      <c r="A212" t="s">
        <v>678</v>
      </c>
      <c r="B212" t="s">
        <v>10</v>
      </c>
      <c r="C212" t="s">
        <v>1041</v>
      </c>
      <c r="D212" t="s">
        <v>12</v>
      </c>
      <c r="E212" t="s">
        <v>1577</v>
      </c>
      <c r="F212" t="s">
        <v>1578</v>
      </c>
      <c r="G212" t="s">
        <v>1579</v>
      </c>
    </row>
    <row r="213" spans="1:7" x14ac:dyDescent="0.25">
      <c r="A213" t="s">
        <v>678</v>
      </c>
      <c r="B213" t="s">
        <v>10</v>
      </c>
      <c r="C213" t="s">
        <v>1041</v>
      </c>
      <c r="D213" t="s">
        <v>12</v>
      </c>
      <c r="E213" t="s">
        <v>1580</v>
      </c>
      <c r="F213" t="s">
        <v>1578</v>
      </c>
      <c r="G213" t="s">
        <v>1579</v>
      </c>
    </row>
    <row r="214" spans="1:7" x14ac:dyDescent="0.25">
      <c r="A214" t="s">
        <v>678</v>
      </c>
      <c r="B214" t="s">
        <v>10</v>
      </c>
      <c r="C214" t="s">
        <v>1041</v>
      </c>
      <c r="D214" t="s">
        <v>12</v>
      </c>
      <c r="E214" t="s">
        <v>1581</v>
      </c>
      <c r="F214" t="s">
        <v>1578</v>
      </c>
      <c r="G214" t="s">
        <v>1579</v>
      </c>
    </row>
    <row r="215" spans="1:7" x14ac:dyDescent="0.25">
      <c r="A215" t="s">
        <v>678</v>
      </c>
      <c r="B215" t="s">
        <v>10</v>
      </c>
      <c r="C215" t="s">
        <v>1044</v>
      </c>
      <c r="D215" t="s">
        <v>12</v>
      </c>
      <c r="E215" t="s">
        <v>1582</v>
      </c>
      <c r="F215" t="s">
        <v>1578</v>
      </c>
      <c r="G215" t="s">
        <v>1579</v>
      </c>
    </row>
    <row r="216" spans="1:7" x14ac:dyDescent="0.25">
      <c r="A216" t="s">
        <v>678</v>
      </c>
      <c r="B216" t="s">
        <v>10</v>
      </c>
      <c r="C216" t="s">
        <v>1044</v>
      </c>
      <c r="D216" t="s">
        <v>12</v>
      </c>
      <c r="E216" t="s">
        <v>1582</v>
      </c>
      <c r="F216" t="s">
        <v>1578</v>
      </c>
      <c r="G216" t="s">
        <v>1579</v>
      </c>
    </row>
    <row r="217" spans="1:7" x14ac:dyDescent="0.25">
      <c r="A217" t="s">
        <v>685</v>
      </c>
      <c r="B217" t="s">
        <v>10</v>
      </c>
      <c r="C217" t="s">
        <v>11</v>
      </c>
      <c r="D217" t="s">
        <v>12</v>
      </c>
      <c r="E217" t="s">
        <v>1664</v>
      </c>
      <c r="F217" t="s">
        <v>1403</v>
      </c>
      <c r="G217" t="s">
        <v>1404</v>
      </c>
    </row>
    <row r="218" spans="1:7" x14ac:dyDescent="0.25">
      <c r="A218" t="s">
        <v>685</v>
      </c>
      <c r="B218" t="s">
        <v>10</v>
      </c>
      <c r="C218" t="s">
        <v>17</v>
      </c>
      <c r="D218" t="s">
        <v>12</v>
      </c>
      <c r="E218" t="s">
        <v>1665</v>
      </c>
      <c r="F218" t="s">
        <v>1403</v>
      </c>
      <c r="G218" t="s">
        <v>1404</v>
      </c>
    </row>
    <row r="219" spans="1:7" x14ac:dyDescent="0.25">
      <c r="A219" t="s">
        <v>685</v>
      </c>
      <c r="B219" t="s">
        <v>10</v>
      </c>
      <c r="C219" t="s">
        <v>21</v>
      </c>
      <c r="D219" t="s">
        <v>12</v>
      </c>
      <c r="E219" t="s">
        <v>545</v>
      </c>
      <c r="F219" t="s">
        <v>1403</v>
      </c>
      <c r="G219" t="s">
        <v>1404</v>
      </c>
    </row>
    <row r="220" spans="1:7" x14ac:dyDescent="0.25">
      <c r="A220" t="s">
        <v>685</v>
      </c>
      <c r="B220" t="s">
        <v>10</v>
      </c>
      <c r="C220" t="s">
        <v>25</v>
      </c>
      <c r="D220" t="s">
        <v>12</v>
      </c>
      <c r="E220" t="s">
        <v>525</v>
      </c>
      <c r="F220" t="s">
        <v>1403</v>
      </c>
      <c r="G220" t="s">
        <v>1404</v>
      </c>
    </row>
    <row r="221" spans="1:7" x14ac:dyDescent="0.25">
      <c r="A221" t="s">
        <v>685</v>
      </c>
      <c r="B221" t="s">
        <v>10</v>
      </c>
      <c r="C221" t="s">
        <v>11</v>
      </c>
      <c r="D221" t="s">
        <v>12</v>
      </c>
      <c r="E221" t="s">
        <v>282</v>
      </c>
      <c r="F221" t="s">
        <v>1403</v>
      </c>
      <c r="G221" t="s">
        <v>1404</v>
      </c>
    </row>
    <row r="222" spans="1:7" x14ac:dyDescent="0.25">
      <c r="A222" t="s">
        <v>685</v>
      </c>
      <c r="B222" t="s">
        <v>10</v>
      </c>
      <c r="C222" t="s">
        <v>17</v>
      </c>
      <c r="D222" t="s">
        <v>12</v>
      </c>
      <c r="E222" t="s">
        <v>683</v>
      </c>
      <c r="F222" t="s">
        <v>1403</v>
      </c>
      <c r="G222" t="s">
        <v>1404</v>
      </c>
    </row>
    <row r="223" spans="1:7" x14ac:dyDescent="0.25">
      <c r="A223" t="s">
        <v>685</v>
      </c>
      <c r="B223" t="s">
        <v>10</v>
      </c>
      <c r="C223" t="s">
        <v>21</v>
      </c>
      <c r="D223" t="s">
        <v>12</v>
      </c>
      <c r="E223" t="s">
        <v>826</v>
      </c>
      <c r="F223" t="s">
        <v>1403</v>
      </c>
      <c r="G223" t="s">
        <v>1404</v>
      </c>
    </row>
    <row r="224" spans="1:7" x14ac:dyDescent="0.25">
      <c r="A224" t="s">
        <v>685</v>
      </c>
      <c r="B224" t="s">
        <v>10</v>
      </c>
      <c r="C224" t="s">
        <v>25</v>
      </c>
      <c r="D224" t="s">
        <v>12</v>
      </c>
      <c r="E224" t="s">
        <v>771</v>
      </c>
      <c r="F224" t="s">
        <v>1403</v>
      </c>
      <c r="G224" t="s">
        <v>1404</v>
      </c>
    </row>
    <row r="225" spans="1:7" x14ac:dyDescent="0.25">
      <c r="A225" t="s">
        <v>685</v>
      </c>
      <c r="B225" t="s">
        <v>10</v>
      </c>
      <c r="C225" t="s">
        <v>29</v>
      </c>
      <c r="D225" t="s">
        <v>12</v>
      </c>
      <c r="E225" t="s">
        <v>210</v>
      </c>
      <c r="F225" t="s">
        <v>1408</v>
      </c>
      <c r="G225" t="s">
        <v>1409</v>
      </c>
    </row>
    <row r="226" spans="1:7" x14ac:dyDescent="0.25">
      <c r="A226" t="s">
        <v>685</v>
      </c>
      <c r="B226" t="s">
        <v>10</v>
      </c>
      <c r="C226" t="s">
        <v>29</v>
      </c>
      <c r="D226" t="s">
        <v>12</v>
      </c>
      <c r="E226" t="s">
        <v>680</v>
      </c>
      <c r="F226" t="s">
        <v>1408</v>
      </c>
      <c r="G226" t="s">
        <v>1409</v>
      </c>
    </row>
    <row r="227" spans="1:7" x14ac:dyDescent="0.25">
      <c r="A227" t="s">
        <v>685</v>
      </c>
      <c r="B227" t="s">
        <v>10</v>
      </c>
      <c r="C227" t="s">
        <v>34</v>
      </c>
      <c r="D227" t="s">
        <v>12</v>
      </c>
      <c r="E227" t="s">
        <v>819</v>
      </c>
      <c r="F227" t="s">
        <v>1408</v>
      </c>
      <c r="G227" t="s">
        <v>1409</v>
      </c>
    </row>
    <row r="228" spans="1:7" x14ac:dyDescent="0.25">
      <c r="A228" t="s">
        <v>685</v>
      </c>
      <c r="B228" t="s">
        <v>10</v>
      </c>
      <c r="C228" t="s">
        <v>34</v>
      </c>
      <c r="D228" t="s">
        <v>12</v>
      </c>
      <c r="E228" t="s">
        <v>1410</v>
      </c>
      <c r="F228" t="s">
        <v>1408</v>
      </c>
      <c r="G228" t="s">
        <v>1409</v>
      </c>
    </row>
    <row r="229" spans="1:7" x14ac:dyDescent="0.25">
      <c r="A229" t="s">
        <v>685</v>
      </c>
      <c r="B229" t="s">
        <v>10</v>
      </c>
      <c r="C229" t="s">
        <v>38</v>
      </c>
      <c r="D229" t="s">
        <v>12</v>
      </c>
      <c r="E229" t="s">
        <v>49</v>
      </c>
      <c r="F229" t="s">
        <v>1408</v>
      </c>
      <c r="G229" t="s">
        <v>1409</v>
      </c>
    </row>
    <row r="230" spans="1:7" x14ac:dyDescent="0.25">
      <c r="A230" t="s">
        <v>685</v>
      </c>
      <c r="B230" t="s">
        <v>10</v>
      </c>
      <c r="C230" t="s">
        <v>42</v>
      </c>
      <c r="D230" t="s">
        <v>12</v>
      </c>
      <c r="E230" t="s">
        <v>1411</v>
      </c>
      <c r="F230" t="s">
        <v>1408</v>
      </c>
      <c r="G230" t="s">
        <v>1409</v>
      </c>
    </row>
    <row r="231" spans="1:7" x14ac:dyDescent="0.25">
      <c r="A231" t="s">
        <v>685</v>
      </c>
      <c r="B231" t="s">
        <v>10</v>
      </c>
      <c r="C231" t="s">
        <v>42</v>
      </c>
      <c r="D231" t="s">
        <v>12</v>
      </c>
      <c r="E231" t="s">
        <v>1412</v>
      </c>
      <c r="F231" t="s">
        <v>1408</v>
      </c>
      <c r="G231" t="s">
        <v>1409</v>
      </c>
    </row>
    <row r="232" spans="1:7" x14ac:dyDescent="0.25">
      <c r="A232" t="s">
        <v>685</v>
      </c>
      <c r="B232" t="s">
        <v>10</v>
      </c>
      <c r="C232" t="s">
        <v>46</v>
      </c>
      <c r="D232" t="s">
        <v>12</v>
      </c>
      <c r="E232" t="s">
        <v>63</v>
      </c>
      <c r="F232" t="s">
        <v>1408</v>
      </c>
      <c r="G232" t="s">
        <v>1409</v>
      </c>
    </row>
    <row r="233" spans="1:7" x14ac:dyDescent="0.25">
      <c r="A233" t="s">
        <v>685</v>
      </c>
      <c r="B233" t="s">
        <v>10</v>
      </c>
      <c r="C233" t="s">
        <v>50</v>
      </c>
      <c r="D233" t="s">
        <v>12</v>
      </c>
      <c r="E233" t="s">
        <v>55</v>
      </c>
      <c r="F233" t="s">
        <v>1408</v>
      </c>
      <c r="G233" t="s">
        <v>1409</v>
      </c>
    </row>
    <row r="234" spans="1:7" x14ac:dyDescent="0.25">
      <c r="A234" t="s">
        <v>685</v>
      </c>
      <c r="B234" t="s">
        <v>10</v>
      </c>
      <c r="C234" t="s">
        <v>54</v>
      </c>
      <c r="D234" t="s">
        <v>12</v>
      </c>
      <c r="E234" t="s">
        <v>206</v>
      </c>
      <c r="F234" t="s">
        <v>1408</v>
      </c>
      <c r="G234" t="s">
        <v>1409</v>
      </c>
    </row>
    <row r="235" spans="1:7" x14ac:dyDescent="0.25">
      <c r="A235" t="s">
        <v>685</v>
      </c>
      <c r="B235" t="s">
        <v>10</v>
      </c>
      <c r="C235" t="s">
        <v>58</v>
      </c>
      <c r="D235" t="s">
        <v>12</v>
      </c>
      <c r="E235" t="s">
        <v>48</v>
      </c>
      <c r="F235" t="s">
        <v>1408</v>
      </c>
      <c r="G235" t="s">
        <v>1409</v>
      </c>
    </row>
    <row r="236" spans="1:7" x14ac:dyDescent="0.25">
      <c r="A236" t="s">
        <v>685</v>
      </c>
      <c r="B236" t="s">
        <v>10</v>
      </c>
      <c r="C236" t="s">
        <v>876</v>
      </c>
      <c r="D236" t="s">
        <v>12</v>
      </c>
      <c r="E236" t="s">
        <v>1413</v>
      </c>
      <c r="F236" t="s">
        <v>1408</v>
      </c>
      <c r="G236" t="s">
        <v>1409</v>
      </c>
    </row>
    <row r="237" spans="1:7" x14ac:dyDescent="0.25">
      <c r="A237" t="s">
        <v>685</v>
      </c>
      <c r="B237" t="s">
        <v>10</v>
      </c>
      <c r="C237" t="s">
        <v>878</v>
      </c>
      <c r="D237" t="s">
        <v>12</v>
      </c>
      <c r="E237" t="s">
        <v>764</v>
      </c>
      <c r="F237" t="s">
        <v>1408</v>
      </c>
      <c r="G237" t="s">
        <v>1409</v>
      </c>
    </row>
    <row r="238" spans="1:7" x14ac:dyDescent="0.25">
      <c r="A238" t="s">
        <v>685</v>
      </c>
      <c r="B238" t="s">
        <v>10</v>
      </c>
      <c r="C238" t="s">
        <v>880</v>
      </c>
      <c r="D238" t="s">
        <v>12</v>
      </c>
      <c r="E238" t="s">
        <v>1414</v>
      </c>
      <c r="F238" t="s">
        <v>1408</v>
      </c>
      <c r="G238" t="s">
        <v>1409</v>
      </c>
    </row>
    <row r="239" spans="1:7" x14ac:dyDescent="0.25">
      <c r="A239" t="s">
        <v>685</v>
      </c>
      <c r="B239" t="s">
        <v>10</v>
      </c>
      <c r="C239" t="s">
        <v>882</v>
      </c>
      <c r="D239" t="s">
        <v>12</v>
      </c>
      <c r="E239" t="s">
        <v>1415</v>
      </c>
      <c r="F239" t="s">
        <v>1408</v>
      </c>
      <c r="G239" t="s">
        <v>1409</v>
      </c>
    </row>
    <row r="240" spans="1:7" x14ac:dyDescent="0.25">
      <c r="A240" t="s">
        <v>686</v>
      </c>
      <c r="B240" t="s">
        <v>10</v>
      </c>
      <c r="C240" t="s">
        <v>1123</v>
      </c>
      <c r="D240" t="s">
        <v>12</v>
      </c>
      <c r="E240" t="s">
        <v>1666</v>
      </c>
      <c r="F240" t="s">
        <v>1667</v>
      </c>
      <c r="G240" t="s">
        <v>1668</v>
      </c>
    </row>
    <row r="241" spans="1:7" x14ac:dyDescent="0.25">
      <c r="A241" t="s">
        <v>686</v>
      </c>
      <c r="B241" t="s">
        <v>10</v>
      </c>
      <c r="C241" t="s">
        <v>1123</v>
      </c>
      <c r="D241" t="s">
        <v>12</v>
      </c>
      <c r="E241" t="s">
        <v>1666</v>
      </c>
      <c r="F241" t="s">
        <v>1667</v>
      </c>
      <c r="G241" t="s">
        <v>1668</v>
      </c>
    </row>
    <row r="242" spans="1:7" x14ac:dyDescent="0.25">
      <c r="A242" t="s">
        <v>686</v>
      </c>
      <c r="B242" t="s">
        <v>10</v>
      </c>
      <c r="C242" t="s">
        <v>1123</v>
      </c>
      <c r="D242" t="s">
        <v>12</v>
      </c>
      <c r="E242" t="s">
        <v>1666</v>
      </c>
      <c r="F242" t="s">
        <v>1667</v>
      </c>
      <c r="G242" t="s">
        <v>1668</v>
      </c>
    </row>
    <row r="243" spans="1:7" x14ac:dyDescent="0.25">
      <c r="A243" t="s">
        <v>686</v>
      </c>
      <c r="B243" t="s">
        <v>10</v>
      </c>
      <c r="C243" t="s">
        <v>1124</v>
      </c>
      <c r="D243" t="s">
        <v>12</v>
      </c>
      <c r="E243" t="s">
        <v>690</v>
      </c>
      <c r="F243" t="s">
        <v>1667</v>
      </c>
      <c r="G243" t="s">
        <v>1668</v>
      </c>
    </row>
    <row r="244" spans="1:7" x14ac:dyDescent="0.25">
      <c r="A244" t="s">
        <v>686</v>
      </c>
      <c r="B244" t="s">
        <v>10</v>
      </c>
      <c r="C244" t="s">
        <v>1124</v>
      </c>
      <c r="D244" t="s">
        <v>12</v>
      </c>
      <c r="E244" t="s">
        <v>690</v>
      </c>
      <c r="F244" t="s">
        <v>1667</v>
      </c>
      <c r="G244" t="s">
        <v>1668</v>
      </c>
    </row>
    <row r="245" spans="1:7" x14ac:dyDescent="0.25">
      <c r="A245" t="s">
        <v>686</v>
      </c>
      <c r="B245" t="s">
        <v>10</v>
      </c>
      <c r="C245" t="s">
        <v>1124</v>
      </c>
      <c r="D245" t="s">
        <v>12</v>
      </c>
      <c r="E245" t="s">
        <v>690</v>
      </c>
      <c r="F245" t="s">
        <v>1667</v>
      </c>
      <c r="G245" t="s">
        <v>1668</v>
      </c>
    </row>
    <row r="246" spans="1:7" x14ac:dyDescent="0.25">
      <c r="A246" t="s">
        <v>686</v>
      </c>
      <c r="B246" t="s">
        <v>10</v>
      </c>
      <c r="C246" t="s">
        <v>1125</v>
      </c>
      <c r="D246" t="s">
        <v>12</v>
      </c>
      <c r="E246" t="s">
        <v>487</v>
      </c>
      <c r="F246" t="s">
        <v>1667</v>
      </c>
      <c r="G246" t="s">
        <v>1668</v>
      </c>
    </row>
    <row r="247" spans="1:7" x14ac:dyDescent="0.25">
      <c r="A247" t="s">
        <v>686</v>
      </c>
      <c r="B247" t="s">
        <v>10</v>
      </c>
      <c r="C247" t="s">
        <v>1125</v>
      </c>
      <c r="D247" t="s">
        <v>12</v>
      </c>
      <c r="E247" t="s">
        <v>1669</v>
      </c>
      <c r="F247" t="s">
        <v>1667</v>
      </c>
      <c r="G247" t="s">
        <v>1668</v>
      </c>
    </row>
    <row r="248" spans="1:7" x14ac:dyDescent="0.25">
      <c r="A248" t="s">
        <v>686</v>
      </c>
      <c r="B248" t="s">
        <v>10</v>
      </c>
      <c r="C248" t="s">
        <v>1126</v>
      </c>
      <c r="D248" t="s">
        <v>12</v>
      </c>
      <c r="E248" t="s">
        <v>1670</v>
      </c>
      <c r="F248" t="s">
        <v>1671</v>
      </c>
      <c r="G248" t="s">
        <v>1672</v>
      </c>
    </row>
    <row r="249" spans="1:7" x14ac:dyDescent="0.25">
      <c r="A249" t="s">
        <v>686</v>
      </c>
      <c r="B249" t="s">
        <v>10</v>
      </c>
      <c r="C249" t="s">
        <v>1126</v>
      </c>
      <c r="D249" t="s">
        <v>12</v>
      </c>
      <c r="E249" t="s">
        <v>1673</v>
      </c>
      <c r="F249" t="s">
        <v>1671</v>
      </c>
      <c r="G249" t="s">
        <v>1672</v>
      </c>
    </row>
    <row r="250" spans="1:7" x14ac:dyDescent="0.25">
      <c r="A250" t="s">
        <v>686</v>
      </c>
      <c r="B250" t="s">
        <v>10</v>
      </c>
      <c r="C250" t="s">
        <v>1126</v>
      </c>
      <c r="D250" t="s">
        <v>12</v>
      </c>
      <c r="E250" t="s">
        <v>1674</v>
      </c>
      <c r="F250" t="s">
        <v>1671</v>
      </c>
      <c r="G250" t="s">
        <v>1672</v>
      </c>
    </row>
    <row r="251" spans="1:7" x14ac:dyDescent="0.25">
      <c r="A251" t="s">
        <v>703</v>
      </c>
      <c r="B251" t="s">
        <v>10</v>
      </c>
      <c r="C251" t="s">
        <v>1127</v>
      </c>
      <c r="D251" t="s">
        <v>12</v>
      </c>
      <c r="E251" t="s">
        <v>827</v>
      </c>
      <c r="F251" t="s">
        <v>1127</v>
      </c>
      <c r="G251" t="s">
        <v>1675</v>
      </c>
    </row>
    <row r="252" spans="1:7" x14ac:dyDescent="0.25">
      <c r="A252" t="s">
        <v>703</v>
      </c>
      <c r="B252" t="s">
        <v>10</v>
      </c>
      <c r="C252" t="s">
        <v>1127</v>
      </c>
      <c r="D252" t="s">
        <v>12</v>
      </c>
      <c r="E252" t="s">
        <v>514</v>
      </c>
      <c r="F252" t="s">
        <v>1127</v>
      </c>
      <c r="G252" t="s">
        <v>1675</v>
      </c>
    </row>
    <row r="253" spans="1:7" x14ac:dyDescent="0.25">
      <c r="A253" t="s">
        <v>703</v>
      </c>
      <c r="B253" t="s">
        <v>10</v>
      </c>
      <c r="C253" t="s">
        <v>1127</v>
      </c>
      <c r="D253" t="s">
        <v>12</v>
      </c>
      <c r="E253" t="s">
        <v>1676</v>
      </c>
      <c r="F253" t="s">
        <v>1127</v>
      </c>
      <c r="G253" t="s">
        <v>1675</v>
      </c>
    </row>
    <row r="254" spans="1:7" x14ac:dyDescent="0.25">
      <c r="A254" t="s">
        <v>703</v>
      </c>
      <c r="B254" t="s">
        <v>10</v>
      </c>
      <c r="C254" t="s">
        <v>1127</v>
      </c>
      <c r="D254" t="s">
        <v>12</v>
      </c>
      <c r="E254" t="s">
        <v>684</v>
      </c>
      <c r="F254" t="s">
        <v>1127</v>
      </c>
      <c r="G254" t="s">
        <v>1675</v>
      </c>
    </row>
    <row r="255" spans="1:7" x14ac:dyDescent="0.25">
      <c r="A255" t="s">
        <v>703</v>
      </c>
      <c r="B255" t="s">
        <v>10</v>
      </c>
      <c r="C255" t="s">
        <v>1128</v>
      </c>
      <c r="D255" t="s">
        <v>12</v>
      </c>
      <c r="E255" t="s">
        <v>1677</v>
      </c>
      <c r="F255" t="s">
        <v>1484</v>
      </c>
      <c r="G255" t="s">
        <v>1485</v>
      </c>
    </row>
    <row r="256" spans="1:7" x14ac:dyDescent="0.25">
      <c r="A256" t="s">
        <v>703</v>
      </c>
      <c r="B256" t="s">
        <v>10</v>
      </c>
      <c r="C256" t="s">
        <v>1128</v>
      </c>
      <c r="D256" t="s">
        <v>12</v>
      </c>
      <c r="E256" t="s">
        <v>1678</v>
      </c>
      <c r="F256" t="s">
        <v>1484</v>
      </c>
      <c r="G256" t="s">
        <v>1485</v>
      </c>
    </row>
    <row r="257" spans="1:7" x14ac:dyDescent="0.25">
      <c r="A257" t="s">
        <v>703</v>
      </c>
      <c r="B257" t="s">
        <v>10</v>
      </c>
      <c r="C257" t="s">
        <v>1128</v>
      </c>
      <c r="D257" t="s">
        <v>12</v>
      </c>
      <c r="E257" t="s">
        <v>1679</v>
      </c>
      <c r="F257" t="s">
        <v>1484</v>
      </c>
      <c r="G257" t="s">
        <v>1485</v>
      </c>
    </row>
    <row r="258" spans="1:7" x14ac:dyDescent="0.25">
      <c r="A258" t="s">
        <v>703</v>
      </c>
      <c r="B258" t="s">
        <v>10</v>
      </c>
      <c r="C258" t="s">
        <v>1680</v>
      </c>
      <c r="D258" t="s">
        <v>12</v>
      </c>
      <c r="E258" t="s">
        <v>1676</v>
      </c>
      <c r="F258" t="s">
        <v>1681</v>
      </c>
      <c r="G258" t="s">
        <v>1570</v>
      </c>
    </row>
    <row r="259" spans="1:7" x14ac:dyDescent="0.25">
      <c r="A259" t="s">
        <v>703</v>
      </c>
      <c r="B259" t="s">
        <v>10</v>
      </c>
      <c r="C259" t="s">
        <v>1680</v>
      </c>
      <c r="D259" t="s">
        <v>12</v>
      </c>
      <c r="E259" t="s">
        <v>1682</v>
      </c>
      <c r="F259" t="s">
        <v>1681</v>
      </c>
      <c r="G259" t="s">
        <v>1570</v>
      </c>
    </row>
    <row r="260" spans="1:7" x14ac:dyDescent="0.25">
      <c r="A260" t="s">
        <v>703</v>
      </c>
      <c r="B260" t="s">
        <v>10</v>
      </c>
      <c r="C260" t="s">
        <v>1680</v>
      </c>
      <c r="D260" t="s">
        <v>12</v>
      </c>
      <c r="E260" t="s">
        <v>1683</v>
      </c>
      <c r="F260" t="s">
        <v>1681</v>
      </c>
      <c r="G260" t="s">
        <v>1570</v>
      </c>
    </row>
    <row r="261" spans="1:7" x14ac:dyDescent="0.25">
      <c r="A261" t="s">
        <v>703</v>
      </c>
      <c r="B261" t="s">
        <v>10</v>
      </c>
      <c r="C261" t="s">
        <v>1680</v>
      </c>
      <c r="D261" t="s">
        <v>12</v>
      </c>
      <c r="E261" t="s">
        <v>1684</v>
      </c>
      <c r="F261" t="s">
        <v>1681</v>
      </c>
      <c r="G261" t="s">
        <v>1570</v>
      </c>
    </row>
    <row r="262" spans="1:7" x14ac:dyDescent="0.25">
      <c r="A262" t="s">
        <v>741</v>
      </c>
      <c r="B262" t="s">
        <v>10</v>
      </c>
      <c r="C262" t="s">
        <v>742</v>
      </c>
      <c r="D262" t="s">
        <v>12</v>
      </c>
      <c r="E262" t="s">
        <v>649</v>
      </c>
      <c r="F262" t="s">
        <v>1127</v>
      </c>
      <c r="G262" t="s">
        <v>1675</v>
      </c>
    </row>
    <row r="263" spans="1:7" x14ac:dyDescent="0.25">
      <c r="A263" t="s">
        <v>741</v>
      </c>
      <c r="B263" t="s">
        <v>10</v>
      </c>
      <c r="C263" t="s">
        <v>743</v>
      </c>
      <c r="D263" t="s">
        <v>12</v>
      </c>
      <c r="E263" t="s">
        <v>649</v>
      </c>
      <c r="F263" t="s">
        <v>1127</v>
      </c>
      <c r="G263" t="s">
        <v>1675</v>
      </c>
    </row>
    <row r="264" spans="1:7" x14ac:dyDescent="0.25">
      <c r="A264" t="s">
        <v>741</v>
      </c>
      <c r="B264" t="s">
        <v>10</v>
      </c>
      <c r="C264" t="s">
        <v>744</v>
      </c>
      <c r="D264" t="s">
        <v>12</v>
      </c>
      <c r="E264" t="s">
        <v>649</v>
      </c>
      <c r="F264" t="s">
        <v>1127</v>
      </c>
      <c r="G264" t="s">
        <v>1675</v>
      </c>
    </row>
    <row r="265" spans="1:7" x14ac:dyDescent="0.25">
      <c r="A265" t="s">
        <v>741</v>
      </c>
      <c r="B265" t="s">
        <v>10</v>
      </c>
      <c r="C265" t="s">
        <v>745</v>
      </c>
      <c r="D265" t="s">
        <v>12</v>
      </c>
      <c r="E265" t="s">
        <v>649</v>
      </c>
      <c r="F265" t="s">
        <v>1127</v>
      </c>
      <c r="G265" t="s">
        <v>1675</v>
      </c>
    </row>
    <row r="266" spans="1:7" x14ac:dyDescent="0.25">
      <c r="A266" t="s">
        <v>741</v>
      </c>
      <c r="B266" t="s">
        <v>10</v>
      </c>
      <c r="C266" t="s">
        <v>746</v>
      </c>
      <c r="D266" t="s">
        <v>12</v>
      </c>
      <c r="E266" t="s">
        <v>649</v>
      </c>
      <c r="F266" t="s">
        <v>1484</v>
      </c>
      <c r="G266" t="s">
        <v>1485</v>
      </c>
    </row>
    <row r="267" spans="1:7" x14ac:dyDescent="0.25">
      <c r="A267" t="s">
        <v>741</v>
      </c>
      <c r="B267" t="s">
        <v>10</v>
      </c>
      <c r="C267" t="s">
        <v>747</v>
      </c>
      <c r="D267" t="s">
        <v>12</v>
      </c>
      <c r="E267" t="s">
        <v>649</v>
      </c>
      <c r="F267" t="s">
        <v>1484</v>
      </c>
      <c r="G267" t="s">
        <v>1485</v>
      </c>
    </row>
    <row r="268" spans="1:7" x14ac:dyDescent="0.25">
      <c r="A268" t="s">
        <v>741</v>
      </c>
      <c r="B268" t="s">
        <v>10</v>
      </c>
      <c r="C268" t="s">
        <v>748</v>
      </c>
      <c r="D268" t="s">
        <v>12</v>
      </c>
      <c r="E268" t="s">
        <v>649</v>
      </c>
      <c r="F268" t="s">
        <v>1484</v>
      </c>
      <c r="G268" t="s">
        <v>1485</v>
      </c>
    </row>
    <row r="269" spans="1:7" x14ac:dyDescent="0.25">
      <c r="A269" t="s">
        <v>741</v>
      </c>
      <c r="B269" t="s">
        <v>10</v>
      </c>
      <c r="C269" t="s">
        <v>749</v>
      </c>
      <c r="D269" t="s">
        <v>12</v>
      </c>
      <c r="E269" t="s">
        <v>649</v>
      </c>
      <c r="F269" t="s">
        <v>1484</v>
      </c>
      <c r="G269" t="s">
        <v>1485</v>
      </c>
    </row>
    <row r="270" spans="1:7" x14ac:dyDescent="0.25">
      <c r="A270" t="s">
        <v>750</v>
      </c>
      <c r="B270" t="s">
        <v>10</v>
      </c>
      <c r="C270" t="s">
        <v>1453</v>
      </c>
      <c r="D270" t="s">
        <v>12</v>
      </c>
      <c r="E270" t="s">
        <v>1454</v>
      </c>
      <c r="F270" t="s">
        <v>1455</v>
      </c>
      <c r="G270" t="s">
        <v>1456</v>
      </c>
    </row>
    <row r="271" spans="1:7" x14ac:dyDescent="0.25">
      <c r="A271" t="s">
        <v>750</v>
      </c>
      <c r="B271" t="s">
        <v>10</v>
      </c>
      <c r="C271" t="s">
        <v>1453</v>
      </c>
      <c r="D271" t="s">
        <v>12</v>
      </c>
      <c r="E271" t="s">
        <v>1457</v>
      </c>
      <c r="F271" t="s">
        <v>1455</v>
      </c>
      <c r="G271" t="s">
        <v>1456</v>
      </c>
    </row>
    <row r="272" spans="1:7" x14ac:dyDescent="0.25">
      <c r="A272" t="s">
        <v>750</v>
      </c>
      <c r="B272" t="s">
        <v>10</v>
      </c>
      <c r="C272" t="s">
        <v>1453</v>
      </c>
      <c r="D272" t="s">
        <v>12</v>
      </c>
      <c r="E272" t="s">
        <v>1458</v>
      </c>
      <c r="F272" t="s">
        <v>1455</v>
      </c>
      <c r="G272" t="s">
        <v>1456</v>
      </c>
    </row>
    <row r="273" spans="1:7" x14ac:dyDescent="0.25">
      <c r="A273" t="s">
        <v>750</v>
      </c>
      <c r="B273" t="s">
        <v>10</v>
      </c>
      <c r="C273" t="s">
        <v>1453</v>
      </c>
      <c r="D273" t="s">
        <v>12</v>
      </c>
      <c r="E273" t="s">
        <v>1459</v>
      </c>
      <c r="F273" t="s">
        <v>1455</v>
      </c>
      <c r="G273" t="s">
        <v>1456</v>
      </c>
    </row>
    <row r="274" spans="1:7" x14ac:dyDescent="0.25">
      <c r="A274" t="s">
        <v>750</v>
      </c>
      <c r="B274" t="s">
        <v>10</v>
      </c>
      <c r="C274" t="s">
        <v>1059</v>
      </c>
      <c r="D274" t="s">
        <v>12</v>
      </c>
      <c r="E274" t="s">
        <v>1460</v>
      </c>
      <c r="F274" t="s">
        <v>1455</v>
      </c>
      <c r="G274" t="s">
        <v>1456</v>
      </c>
    </row>
    <row r="275" spans="1:7" x14ac:dyDescent="0.25">
      <c r="A275" t="s">
        <v>750</v>
      </c>
      <c r="B275" t="s">
        <v>10</v>
      </c>
      <c r="C275" t="s">
        <v>1059</v>
      </c>
      <c r="D275" t="s">
        <v>12</v>
      </c>
      <c r="E275" t="s">
        <v>1461</v>
      </c>
      <c r="F275" t="s">
        <v>1455</v>
      </c>
      <c r="G275" t="s">
        <v>1456</v>
      </c>
    </row>
    <row r="276" spans="1:7" x14ac:dyDescent="0.25">
      <c r="A276" t="s">
        <v>750</v>
      </c>
      <c r="B276" t="s">
        <v>10</v>
      </c>
      <c r="C276" t="s">
        <v>1059</v>
      </c>
      <c r="D276" t="s">
        <v>12</v>
      </c>
      <c r="E276" t="s">
        <v>1462</v>
      </c>
      <c r="F276" t="s">
        <v>1455</v>
      </c>
      <c r="G276" t="s">
        <v>1456</v>
      </c>
    </row>
    <row r="277" spans="1:7" x14ac:dyDescent="0.25">
      <c r="A277" t="s">
        <v>750</v>
      </c>
      <c r="B277" t="s">
        <v>10</v>
      </c>
      <c r="C277" t="s">
        <v>1059</v>
      </c>
      <c r="D277" t="s">
        <v>12</v>
      </c>
      <c r="E277" t="s">
        <v>1463</v>
      </c>
      <c r="F277" t="s">
        <v>1455</v>
      </c>
      <c r="G277" t="s">
        <v>1456</v>
      </c>
    </row>
    <row r="278" spans="1:7" x14ac:dyDescent="0.25">
      <c r="A278" t="s">
        <v>750</v>
      </c>
      <c r="B278" t="s">
        <v>10</v>
      </c>
      <c r="C278" t="s">
        <v>1059</v>
      </c>
      <c r="D278" t="s">
        <v>12</v>
      </c>
      <c r="E278" t="s">
        <v>1464</v>
      </c>
      <c r="F278" t="s">
        <v>1455</v>
      </c>
      <c r="G278" t="s">
        <v>1456</v>
      </c>
    </row>
    <row r="279" spans="1:7" x14ac:dyDescent="0.25">
      <c r="A279" t="s">
        <v>750</v>
      </c>
      <c r="B279" t="s">
        <v>10</v>
      </c>
      <c r="C279" t="s">
        <v>1059</v>
      </c>
      <c r="D279" t="s">
        <v>12</v>
      </c>
      <c r="E279" t="s">
        <v>1465</v>
      </c>
      <c r="F279" t="s">
        <v>1455</v>
      </c>
      <c r="G279" t="s">
        <v>1456</v>
      </c>
    </row>
    <row r="280" spans="1:7" x14ac:dyDescent="0.25">
      <c r="A280" t="s">
        <v>774</v>
      </c>
      <c r="B280" t="s">
        <v>10</v>
      </c>
      <c r="C280" t="s">
        <v>1138</v>
      </c>
      <c r="D280" t="s">
        <v>12</v>
      </c>
      <c r="E280" t="s">
        <v>1174</v>
      </c>
      <c r="F280" t="s">
        <v>1484</v>
      </c>
      <c r="G280" t="s">
        <v>1485</v>
      </c>
    </row>
    <row r="281" spans="1:7" x14ac:dyDescent="0.25">
      <c r="A281" t="s">
        <v>774</v>
      </c>
      <c r="B281" t="s">
        <v>10</v>
      </c>
      <c r="C281" t="s">
        <v>1138</v>
      </c>
      <c r="D281" t="s">
        <v>12</v>
      </c>
      <c r="E281" t="s">
        <v>1685</v>
      </c>
      <c r="F281" t="s">
        <v>1484</v>
      </c>
      <c r="G281" t="s">
        <v>1485</v>
      </c>
    </row>
    <row r="282" spans="1:7" x14ac:dyDescent="0.25">
      <c r="A282" t="s">
        <v>774</v>
      </c>
      <c r="B282" t="s">
        <v>10</v>
      </c>
      <c r="C282" t="s">
        <v>1138</v>
      </c>
      <c r="D282" t="s">
        <v>12</v>
      </c>
      <c r="E282" t="s">
        <v>1686</v>
      </c>
      <c r="F282" t="s">
        <v>1484</v>
      </c>
      <c r="G282" t="s">
        <v>1485</v>
      </c>
    </row>
    <row r="283" spans="1:7" x14ac:dyDescent="0.25">
      <c r="A283" t="s">
        <v>774</v>
      </c>
      <c r="B283" t="s">
        <v>10</v>
      </c>
      <c r="C283" t="s">
        <v>1144</v>
      </c>
      <c r="D283" t="s">
        <v>12</v>
      </c>
      <c r="E283" t="s">
        <v>1648</v>
      </c>
      <c r="F283" t="s">
        <v>1681</v>
      </c>
      <c r="G283" t="s">
        <v>1570</v>
      </c>
    </row>
    <row r="284" spans="1:7" x14ac:dyDescent="0.25">
      <c r="A284" t="s">
        <v>774</v>
      </c>
      <c r="B284" t="s">
        <v>10</v>
      </c>
      <c r="C284" t="s">
        <v>1144</v>
      </c>
      <c r="D284" t="s">
        <v>12</v>
      </c>
      <c r="E284" t="s">
        <v>1687</v>
      </c>
      <c r="F284" t="s">
        <v>1681</v>
      </c>
      <c r="G284" t="s">
        <v>1570</v>
      </c>
    </row>
    <row r="285" spans="1:7" x14ac:dyDescent="0.25">
      <c r="A285" t="s">
        <v>774</v>
      </c>
      <c r="B285" t="s">
        <v>10</v>
      </c>
      <c r="C285" t="s">
        <v>1144</v>
      </c>
      <c r="D285" t="s">
        <v>12</v>
      </c>
      <c r="E285" t="s">
        <v>283</v>
      </c>
      <c r="F285" t="s">
        <v>1681</v>
      </c>
      <c r="G285" t="s">
        <v>1570</v>
      </c>
    </row>
    <row r="286" spans="1:7" x14ac:dyDescent="0.25">
      <c r="A286" t="s">
        <v>774</v>
      </c>
      <c r="B286" t="s">
        <v>10</v>
      </c>
      <c r="C286" t="s">
        <v>1158</v>
      </c>
      <c r="D286" t="s">
        <v>12</v>
      </c>
      <c r="E286" t="s">
        <v>1688</v>
      </c>
      <c r="F286" t="s">
        <v>1493</v>
      </c>
      <c r="G286" t="s">
        <v>1494</v>
      </c>
    </row>
    <row r="287" spans="1:7" x14ac:dyDescent="0.25">
      <c r="A287" t="s">
        <v>774</v>
      </c>
      <c r="B287" t="s">
        <v>10</v>
      </c>
      <c r="C287" t="s">
        <v>1158</v>
      </c>
      <c r="D287" t="s">
        <v>12</v>
      </c>
      <c r="E287" t="s">
        <v>1689</v>
      </c>
      <c r="F287" t="s">
        <v>1493</v>
      </c>
      <c r="G287" t="s">
        <v>1494</v>
      </c>
    </row>
    <row r="288" spans="1:7" x14ac:dyDescent="0.25">
      <c r="A288" t="s">
        <v>774</v>
      </c>
      <c r="B288" t="s">
        <v>10</v>
      </c>
      <c r="C288" t="s">
        <v>1158</v>
      </c>
      <c r="D288" t="s">
        <v>12</v>
      </c>
      <c r="E288" t="s">
        <v>1688</v>
      </c>
      <c r="F288" t="s">
        <v>1493</v>
      </c>
      <c r="G288" t="s">
        <v>1494</v>
      </c>
    </row>
    <row r="289" spans="1:7" x14ac:dyDescent="0.25">
      <c r="A289" t="s">
        <v>774</v>
      </c>
      <c r="B289" t="s">
        <v>10</v>
      </c>
      <c r="C289" t="s">
        <v>1166</v>
      </c>
      <c r="D289" t="s">
        <v>12</v>
      </c>
      <c r="E289" t="s">
        <v>1690</v>
      </c>
      <c r="F289" t="s">
        <v>1493</v>
      </c>
      <c r="G289" t="s">
        <v>1494</v>
      </c>
    </row>
    <row r="290" spans="1:7" x14ac:dyDescent="0.25">
      <c r="A290" t="s">
        <v>774</v>
      </c>
      <c r="B290" t="s">
        <v>10</v>
      </c>
      <c r="C290" t="s">
        <v>1166</v>
      </c>
      <c r="D290" t="s">
        <v>12</v>
      </c>
      <c r="E290" t="s">
        <v>1691</v>
      </c>
      <c r="F290" t="s">
        <v>1493</v>
      </c>
      <c r="G290" t="s">
        <v>1494</v>
      </c>
    </row>
    <row r="291" spans="1:7" x14ac:dyDescent="0.25">
      <c r="A291" t="s">
        <v>774</v>
      </c>
      <c r="B291" t="s">
        <v>10</v>
      </c>
      <c r="C291" t="s">
        <v>1166</v>
      </c>
      <c r="D291" t="s">
        <v>12</v>
      </c>
      <c r="E291" t="s">
        <v>1692</v>
      </c>
      <c r="F291" t="s">
        <v>1493</v>
      </c>
      <c r="G291" t="s">
        <v>1494</v>
      </c>
    </row>
    <row r="292" spans="1:7" x14ac:dyDescent="0.25">
      <c r="A292" t="s">
        <v>774</v>
      </c>
      <c r="B292" t="s">
        <v>10</v>
      </c>
      <c r="C292" t="s">
        <v>1156</v>
      </c>
      <c r="D292" t="s">
        <v>12</v>
      </c>
      <c r="E292" t="s">
        <v>1693</v>
      </c>
      <c r="F292" t="s">
        <v>1694</v>
      </c>
      <c r="G292" t="s">
        <v>1456</v>
      </c>
    </row>
    <row r="293" spans="1:7" x14ac:dyDescent="0.25">
      <c r="A293" t="s">
        <v>774</v>
      </c>
      <c r="B293" t="s">
        <v>10</v>
      </c>
      <c r="C293" t="s">
        <v>1156</v>
      </c>
      <c r="D293" t="s">
        <v>12</v>
      </c>
      <c r="E293" t="s">
        <v>1695</v>
      </c>
      <c r="F293" t="s">
        <v>1694</v>
      </c>
      <c r="G293" t="s">
        <v>1456</v>
      </c>
    </row>
    <row r="294" spans="1:7" x14ac:dyDescent="0.25">
      <c r="A294" t="s">
        <v>774</v>
      </c>
      <c r="B294" t="s">
        <v>10</v>
      </c>
      <c r="C294" t="s">
        <v>1156</v>
      </c>
      <c r="D294" t="s">
        <v>12</v>
      </c>
      <c r="E294" t="s">
        <v>1696</v>
      </c>
      <c r="F294" t="s">
        <v>1694</v>
      </c>
      <c r="G294" t="s">
        <v>1456</v>
      </c>
    </row>
    <row r="295" spans="1:7" x14ac:dyDescent="0.25">
      <c r="A295" t="s">
        <v>774</v>
      </c>
      <c r="B295" t="s">
        <v>10</v>
      </c>
      <c r="C295" t="s">
        <v>1154</v>
      </c>
      <c r="D295" t="s">
        <v>12</v>
      </c>
      <c r="E295" t="s">
        <v>1697</v>
      </c>
      <c r="F295" t="s">
        <v>1698</v>
      </c>
      <c r="G295" t="s">
        <v>1699</v>
      </c>
    </row>
    <row r="296" spans="1:7" x14ac:dyDescent="0.25">
      <c r="A296" t="s">
        <v>774</v>
      </c>
      <c r="B296" t="s">
        <v>10</v>
      </c>
      <c r="C296" t="s">
        <v>1154</v>
      </c>
      <c r="D296" t="s">
        <v>12</v>
      </c>
      <c r="E296" t="s">
        <v>1700</v>
      </c>
      <c r="F296" t="s">
        <v>1698</v>
      </c>
      <c r="G296" t="s">
        <v>1699</v>
      </c>
    </row>
    <row r="297" spans="1:7" x14ac:dyDescent="0.25">
      <c r="A297" t="s">
        <v>774</v>
      </c>
      <c r="B297" t="s">
        <v>10</v>
      </c>
      <c r="C297" t="s">
        <v>1154</v>
      </c>
      <c r="D297" t="s">
        <v>12</v>
      </c>
      <c r="E297" t="s">
        <v>197</v>
      </c>
      <c r="F297" t="s">
        <v>1698</v>
      </c>
      <c r="G297" t="s">
        <v>1699</v>
      </c>
    </row>
    <row r="298" spans="1:7" x14ac:dyDescent="0.25">
      <c r="A298" t="s">
        <v>774</v>
      </c>
      <c r="B298" t="s">
        <v>10</v>
      </c>
      <c r="C298" t="s">
        <v>1160</v>
      </c>
      <c r="D298" t="s">
        <v>12</v>
      </c>
      <c r="E298" t="s">
        <v>1701</v>
      </c>
      <c r="F298" t="s">
        <v>1493</v>
      </c>
      <c r="G298" t="s">
        <v>1494</v>
      </c>
    </row>
    <row r="299" spans="1:7" x14ac:dyDescent="0.25">
      <c r="A299" t="s">
        <v>774</v>
      </c>
      <c r="B299" t="s">
        <v>10</v>
      </c>
      <c r="C299" t="s">
        <v>1160</v>
      </c>
      <c r="D299" t="s">
        <v>12</v>
      </c>
      <c r="E299" t="s">
        <v>1702</v>
      </c>
      <c r="F299" t="s">
        <v>1493</v>
      </c>
      <c r="G299" t="s">
        <v>1494</v>
      </c>
    </row>
    <row r="300" spans="1:7" x14ac:dyDescent="0.25">
      <c r="A300" t="s">
        <v>774</v>
      </c>
      <c r="B300" t="s">
        <v>10</v>
      </c>
      <c r="C300" t="s">
        <v>1160</v>
      </c>
      <c r="D300" t="s">
        <v>12</v>
      </c>
      <c r="E300" t="s">
        <v>1703</v>
      </c>
      <c r="F300" t="s">
        <v>1493</v>
      </c>
      <c r="G300" t="s">
        <v>1494</v>
      </c>
    </row>
    <row r="301" spans="1:7" x14ac:dyDescent="0.25">
      <c r="A301" t="s">
        <v>818</v>
      </c>
      <c r="B301" t="s">
        <v>10</v>
      </c>
      <c r="C301" t="s">
        <v>1453</v>
      </c>
      <c r="D301" t="s">
        <v>12</v>
      </c>
      <c r="E301" t="s">
        <v>1454</v>
      </c>
      <c r="F301" t="s">
        <v>1455</v>
      </c>
      <c r="G301" t="s">
        <v>1456</v>
      </c>
    </row>
    <row r="302" spans="1:7" x14ac:dyDescent="0.25">
      <c r="A302" t="s">
        <v>818</v>
      </c>
      <c r="B302" t="s">
        <v>10</v>
      </c>
      <c r="C302" t="s">
        <v>1453</v>
      </c>
      <c r="D302" t="s">
        <v>12</v>
      </c>
      <c r="E302" t="s">
        <v>1457</v>
      </c>
      <c r="F302" t="s">
        <v>1455</v>
      </c>
      <c r="G302" t="s">
        <v>1456</v>
      </c>
    </row>
    <row r="303" spans="1:7" x14ac:dyDescent="0.25">
      <c r="A303" t="s">
        <v>818</v>
      </c>
      <c r="B303" t="s">
        <v>10</v>
      </c>
      <c r="C303" t="s">
        <v>1453</v>
      </c>
      <c r="D303" t="s">
        <v>12</v>
      </c>
      <c r="E303" t="s">
        <v>1458</v>
      </c>
      <c r="F303" t="s">
        <v>1455</v>
      </c>
      <c r="G303" t="s">
        <v>1456</v>
      </c>
    </row>
    <row r="304" spans="1:7" x14ac:dyDescent="0.25">
      <c r="A304" t="s">
        <v>818</v>
      </c>
      <c r="B304" t="s">
        <v>10</v>
      </c>
      <c r="C304" t="s">
        <v>1453</v>
      </c>
      <c r="D304" t="s">
        <v>12</v>
      </c>
      <c r="E304" t="s">
        <v>1459</v>
      </c>
      <c r="F304" t="s">
        <v>1455</v>
      </c>
      <c r="G304" t="s">
        <v>1456</v>
      </c>
    </row>
    <row r="305" spans="1:7" x14ac:dyDescent="0.25">
      <c r="A305" t="s">
        <v>818</v>
      </c>
      <c r="B305" t="s">
        <v>10</v>
      </c>
      <c r="C305" t="s">
        <v>1059</v>
      </c>
      <c r="D305" t="s">
        <v>12</v>
      </c>
      <c r="E305" t="s">
        <v>1460</v>
      </c>
      <c r="F305" t="s">
        <v>1455</v>
      </c>
      <c r="G305" t="s">
        <v>1456</v>
      </c>
    </row>
    <row r="306" spans="1:7" x14ac:dyDescent="0.25">
      <c r="A306" t="s">
        <v>818</v>
      </c>
      <c r="B306" t="s">
        <v>10</v>
      </c>
      <c r="C306" t="s">
        <v>1059</v>
      </c>
      <c r="D306" t="s">
        <v>12</v>
      </c>
      <c r="E306" t="s">
        <v>1461</v>
      </c>
      <c r="F306" t="s">
        <v>1455</v>
      </c>
      <c r="G306" t="s">
        <v>1456</v>
      </c>
    </row>
    <row r="307" spans="1:7" x14ac:dyDescent="0.25">
      <c r="A307" t="s">
        <v>818</v>
      </c>
      <c r="B307" t="s">
        <v>10</v>
      </c>
      <c r="C307" t="s">
        <v>1059</v>
      </c>
      <c r="D307" t="s">
        <v>12</v>
      </c>
      <c r="E307" t="s">
        <v>1462</v>
      </c>
      <c r="F307" t="s">
        <v>1455</v>
      </c>
      <c r="G307" t="s">
        <v>1456</v>
      </c>
    </row>
    <row r="308" spans="1:7" x14ac:dyDescent="0.25">
      <c r="A308" t="s">
        <v>818</v>
      </c>
      <c r="B308" t="s">
        <v>10</v>
      </c>
      <c r="C308" t="s">
        <v>1059</v>
      </c>
      <c r="D308" t="s">
        <v>12</v>
      </c>
      <c r="E308" t="s">
        <v>1463</v>
      </c>
      <c r="F308" t="s">
        <v>1455</v>
      </c>
      <c r="G308" t="s">
        <v>1456</v>
      </c>
    </row>
    <row r="309" spans="1:7" x14ac:dyDescent="0.25">
      <c r="A309" t="s">
        <v>818</v>
      </c>
      <c r="B309" t="s">
        <v>10</v>
      </c>
      <c r="C309" t="s">
        <v>1059</v>
      </c>
      <c r="D309" t="s">
        <v>12</v>
      </c>
      <c r="E309" t="s">
        <v>1464</v>
      </c>
      <c r="F309" t="s">
        <v>1455</v>
      </c>
      <c r="G309" t="s">
        <v>1456</v>
      </c>
    </row>
    <row r="310" spans="1:7" x14ac:dyDescent="0.25">
      <c r="A310" t="s">
        <v>818</v>
      </c>
      <c r="B310" t="s">
        <v>10</v>
      </c>
      <c r="C310" t="s">
        <v>1059</v>
      </c>
      <c r="D310" t="s">
        <v>12</v>
      </c>
      <c r="E310" t="s">
        <v>1465</v>
      </c>
      <c r="F310" t="s">
        <v>1455</v>
      </c>
      <c r="G310" t="s">
        <v>1456</v>
      </c>
    </row>
    <row r="311" spans="1:7" x14ac:dyDescent="0.25">
      <c r="A311" t="s">
        <v>830</v>
      </c>
      <c r="B311" t="s">
        <v>831</v>
      </c>
    </row>
    <row r="312" spans="1:7" x14ac:dyDescent="0.25">
      <c r="A312" t="s">
        <v>832</v>
      </c>
      <c r="B312" t="s">
        <v>831</v>
      </c>
    </row>
    <row r="313" spans="1:7" x14ac:dyDescent="0.25">
      <c r="A313" t="s">
        <v>833</v>
      </c>
      <c r="B313" t="s">
        <v>831</v>
      </c>
    </row>
    <row r="314" spans="1:7" x14ac:dyDescent="0.25">
      <c r="A314" t="s">
        <v>834</v>
      </c>
      <c r="B314" t="s">
        <v>831</v>
      </c>
    </row>
    <row r="315" spans="1:7" x14ac:dyDescent="0.25">
      <c r="A315" t="s">
        <v>835</v>
      </c>
      <c r="B315" t="s">
        <v>831</v>
      </c>
    </row>
    <row r="316" spans="1:7" x14ac:dyDescent="0.25">
      <c r="A316" t="s">
        <v>836</v>
      </c>
      <c r="B316" t="s">
        <v>831</v>
      </c>
    </row>
    <row r="317" spans="1:7" x14ac:dyDescent="0.25">
      <c r="A317" t="s">
        <v>837</v>
      </c>
      <c r="B317" t="s">
        <v>831</v>
      </c>
    </row>
    <row r="318" spans="1:7" x14ac:dyDescent="0.25">
      <c r="A318" t="s">
        <v>838</v>
      </c>
      <c r="B318" t="s">
        <v>831</v>
      </c>
    </row>
    <row r="319" spans="1:7" x14ac:dyDescent="0.25">
      <c r="A319" t="s">
        <v>839</v>
      </c>
      <c r="B319" t="s">
        <v>831</v>
      </c>
    </row>
    <row r="320" spans="1:7" x14ac:dyDescent="0.25">
      <c r="A320" t="s">
        <v>840</v>
      </c>
      <c r="B320" t="s">
        <v>831</v>
      </c>
    </row>
    <row r="321" spans="1:2" x14ac:dyDescent="0.25">
      <c r="A321" t="s">
        <v>841</v>
      </c>
      <c r="B321" t="s">
        <v>831</v>
      </c>
    </row>
    <row r="322" spans="1:2" x14ac:dyDescent="0.25">
      <c r="A322" t="s">
        <v>842</v>
      </c>
      <c r="B322" t="s">
        <v>831</v>
      </c>
    </row>
    <row r="323" spans="1:2" x14ac:dyDescent="0.25">
      <c r="A323" t="s">
        <v>843</v>
      </c>
      <c r="B323" t="s">
        <v>831</v>
      </c>
    </row>
    <row r="324" spans="1:2" x14ac:dyDescent="0.25">
      <c r="A324" t="s">
        <v>844</v>
      </c>
      <c r="B324" t="s">
        <v>831</v>
      </c>
    </row>
    <row r="325" spans="1:2" x14ac:dyDescent="0.25">
      <c r="A325" t="s">
        <v>845</v>
      </c>
      <c r="B325" t="s">
        <v>831</v>
      </c>
    </row>
    <row r="326" spans="1:2" x14ac:dyDescent="0.25">
      <c r="A326" t="s">
        <v>846</v>
      </c>
      <c r="B326" t="s">
        <v>831</v>
      </c>
    </row>
    <row r="327" spans="1:2" x14ac:dyDescent="0.25">
      <c r="A327" t="s">
        <v>847</v>
      </c>
      <c r="B327" t="s">
        <v>831</v>
      </c>
    </row>
    <row r="328" spans="1:2" x14ac:dyDescent="0.25">
      <c r="A328" t="s">
        <v>848</v>
      </c>
      <c r="B328" t="s">
        <v>831</v>
      </c>
    </row>
    <row r="329" spans="1:2" x14ac:dyDescent="0.25">
      <c r="A329" t="s">
        <v>849</v>
      </c>
      <c r="B329" t="s">
        <v>831</v>
      </c>
    </row>
    <row r="330" spans="1:2" x14ac:dyDescent="0.25">
      <c r="A330" t="s">
        <v>850</v>
      </c>
      <c r="B330" t="s">
        <v>831</v>
      </c>
    </row>
    <row r="331" spans="1:2" x14ac:dyDescent="0.25">
      <c r="A331" t="s">
        <v>851</v>
      </c>
      <c r="B331" t="s">
        <v>831</v>
      </c>
    </row>
    <row r="332" spans="1:2" x14ac:dyDescent="0.25">
      <c r="A332" t="s">
        <v>852</v>
      </c>
      <c r="B332" t="s">
        <v>831</v>
      </c>
    </row>
    <row r="333" spans="1:2" x14ac:dyDescent="0.25">
      <c r="A333" t="s">
        <v>853</v>
      </c>
      <c r="B333" t="s">
        <v>831</v>
      </c>
    </row>
    <row r="334" spans="1:2" x14ac:dyDescent="0.25">
      <c r="A334" t="s">
        <v>854</v>
      </c>
      <c r="B334" t="s">
        <v>831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869C7-5BB3-42EF-8B5A-18BD78666649}">
  <dimension ref="A1:B1"/>
  <sheetViews>
    <sheetView workbookViewId="0"/>
  </sheetViews>
  <sheetFormatPr defaultColWidth="8.875" defaultRowHeight="15.75" x14ac:dyDescent="0.25"/>
  <cols>
    <col min="1" max="1" width="63.625" customWidth="1"/>
  </cols>
  <sheetData>
    <row r="1" spans="1:2" x14ac:dyDescent="0.25">
      <c r="A1" t="s">
        <v>1316</v>
      </c>
      <c r="B1" t="s">
        <v>1317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component_list</vt:lpstr>
      <vt:lpstr>RS_Means_BC_Cost_Data</vt:lpstr>
      <vt:lpstr>All_LCA_Data</vt:lpstr>
      <vt:lpstr>Cost_LCA_Coupled</vt:lpstr>
      <vt:lpstr>test_fp</vt:lpstr>
      <vt:lpstr>test_comp</vt:lpstr>
      <vt:lpstr>USEEIO_data</vt:lpstr>
      <vt:lpstr>HVAC_systems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Sebastian Rowan</dc:creator>
  <cp:keywords/>
  <dc:description/>
  <cp:lastModifiedBy>Sebastian Rowan</cp:lastModifiedBy>
  <cp:revision/>
  <dcterms:created xsi:type="dcterms:W3CDTF">2023-11-10T14:17:18Z</dcterms:created>
  <dcterms:modified xsi:type="dcterms:W3CDTF">2026-01-07T01:46:31Z</dcterms:modified>
  <cp:category/>
  <cp:contentStatus/>
</cp:coreProperties>
</file>